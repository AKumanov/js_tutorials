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d.docs.live.net/7ff641a5adf30547/IPTM - 2.0/Indicator Dashboard/ISM Services/"/>
    </mc:Choice>
  </mc:AlternateContent>
  <xr:revisionPtr revIDLastSave="775" documentId="8_{C9EE0B08-C09D-44BC-8E0E-9BA5EB18F80F}" xr6:coauthVersionLast="47" xr6:coauthVersionMax="47" xr10:uidLastSave="{C755F7C5-018E-4E6D-B794-38163CF57E66}"/>
  <bookViews>
    <workbookView xWindow="-120" yWindow="-120" windowWidth="29040" windowHeight="15840" tabRatio="873" firstSheet="10" activeTab="21" xr2:uid="{00000000-000D-0000-FFFF-FFFF00000000}"/>
  </bookViews>
  <sheets>
    <sheet name="August 2020" sheetId="1" r:id="rId1"/>
    <sheet name="September 2020" sheetId="2" r:id="rId2"/>
    <sheet name="October 2020" sheetId="3" r:id="rId3"/>
    <sheet name="November 2020" sheetId="4" r:id="rId4"/>
    <sheet name="December 2020" sheetId="5" r:id="rId5"/>
    <sheet name="January 2021" sheetId="6" r:id="rId6"/>
    <sheet name="February 2021" sheetId="7" r:id="rId7"/>
    <sheet name="March 2021" sheetId="8" r:id="rId8"/>
    <sheet name="April 2021" sheetId="9" r:id="rId9"/>
    <sheet name="May 2021" sheetId="10" r:id="rId10"/>
    <sheet name="June 2021 " sheetId="11" r:id="rId11"/>
    <sheet name="July 2021" sheetId="12" r:id="rId12"/>
    <sheet name="August 2021" sheetId="13" r:id="rId13"/>
    <sheet name="September 2021" sheetId="14" r:id="rId14"/>
    <sheet name="October 2021" sheetId="15" r:id="rId15"/>
    <sheet name="November 2021" sheetId="16" r:id="rId16"/>
    <sheet name="December 2021" sheetId="23" r:id="rId17"/>
    <sheet name="January 2022" sheetId="24" r:id="rId18"/>
    <sheet name="February 2022" sheetId="25" r:id="rId19"/>
    <sheet name="March 2022" sheetId="26" r:id="rId20"/>
    <sheet name="Shit Sheet" sheetId="27" r:id="rId21"/>
    <sheet name="MAIN-Analisys" sheetId="18" r:id="rId22"/>
    <sheet name="Sector chart" sheetId="19" r:id="rId23"/>
    <sheet name="Comments" sheetId="22" r:id="rId24"/>
    <sheet name="Trade Ideas" sheetId="20" r:id="rId25"/>
    <sheet name="Sector Description" sheetId="21" r:id="rId26"/>
  </sheets>
  <definedNames>
    <definedName name="_xlnm._FilterDatabase" localSheetId="25" hidden="1">'Sector Description'!$A$1236:$C$1236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C531" i="22" l="1"/>
  <c r="C550" i="22"/>
  <c r="C549" i="22"/>
  <c r="C548" i="22"/>
  <c r="C547" i="22"/>
  <c r="C546" i="22"/>
  <c r="C545" i="22"/>
  <c r="C544" i="22"/>
  <c r="C543" i="22"/>
  <c r="C542" i="22"/>
  <c r="C541" i="22"/>
  <c r="C540" i="22"/>
  <c r="C539" i="22"/>
  <c r="C538" i="22"/>
  <c r="C537" i="22"/>
  <c r="C536" i="22"/>
  <c r="C535" i="22"/>
  <c r="C534" i="22"/>
  <c r="C533" i="22"/>
  <c r="C532" i="22"/>
  <c r="C519" i="22"/>
  <c r="C518" i="22"/>
  <c r="C517" i="22"/>
  <c r="C516" i="22"/>
  <c r="C515" i="22"/>
  <c r="C514" i="22"/>
  <c r="C513" i="22"/>
  <c r="C512" i="22"/>
  <c r="C511" i="22"/>
  <c r="C510" i="22"/>
  <c r="C509" i="22"/>
  <c r="C508" i="22"/>
  <c r="C507" i="22"/>
  <c r="C506" i="22"/>
  <c r="C505" i="22"/>
  <c r="C504" i="22"/>
  <c r="C503" i="22"/>
  <c r="C502" i="22"/>
  <c r="C501" i="22"/>
  <c r="C500" i="22"/>
  <c r="C488" i="22"/>
  <c r="C487" i="22"/>
  <c r="C486" i="22"/>
  <c r="C485" i="22"/>
  <c r="C484" i="22"/>
  <c r="C483" i="22"/>
  <c r="C482" i="22"/>
  <c r="C481" i="22"/>
  <c r="C480" i="22"/>
  <c r="C479" i="22"/>
  <c r="C478" i="22"/>
  <c r="C477" i="22"/>
  <c r="C476" i="22"/>
  <c r="C475" i="22"/>
  <c r="C474" i="22"/>
  <c r="C473" i="22"/>
  <c r="C472" i="22"/>
  <c r="C471" i="22"/>
  <c r="C470" i="22"/>
  <c r="C469" i="22"/>
  <c r="C457" i="22"/>
  <c r="C456" i="22"/>
  <c r="C455" i="22"/>
  <c r="C454" i="22"/>
  <c r="C453" i="22"/>
  <c r="C452" i="22"/>
  <c r="C451" i="22"/>
  <c r="C450" i="22"/>
  <c r="C449" i="22"/>
  <c r="C448" i="22"/>
  <c r="C447" i="22"/>
  <c r="C446" i="22"/>
  <c r="C445" i="22"/>
  <c r="C444" i="22"/>
  <c r="C443" i="22"/>
  <c r="C442" i="22"/>
  <c r="C441" i="22"/>
  <c r="C440" i="22"/>
  <c r="C439" i="22"/>
  <c r="C438" i="22"/>
  <c r="C426" i="22"/>
  <c r="C425" i="22"/>
  <c r="C424" i="22"/>
  <c r="C423" i="22"/>
  <c r="C422" i="22"/>
  <c r="C421" i="22"/>
  <c r="C420" i="22"/>
  <c r="C419" i="22"/>
  <c r="C418" i="22"/>
  <c r="C417" i="22"/>
  <c r="C416" i="22"/>
  <c r="C415" i="22"/>
  <c r="C414" i="22"/>
  <c r="C413" i="22"/>
  <c r="C412" i="22"/>
  <c r="C411" i="22"/>
  <c r="C410" i="22"/>
  <c r="C409" i="22"/>
  <c r="C408" i="22"/>
  <c r="C407" i="22"/>
  <c r="C395" i="22"/>
  <c r="C394" i="22"/>
  <c r="C393" i="22"/>
  <c r="C392" i="22"/>
  <c r="C391" i="22"/>
  <c r="C390" i="22"/>
  <c r="C389" i="22"/>
  <c r="C388" i="22"/>
  <c r="C387" i="22"/>
  <c r="C386" i="22"/>
  <c r="C385" i="22"/>
  <c r="C384" i="22"/>
  <c r="C383" i="22"/>
  <c r="C382" i="22"/>
  <c r="C381" i="22"/>
  <c r="C380" i="22"/>
  <c r="C379" i="22"/>
  <c r="C378" i="22"/>
  <c r="C377" i="22"/>
  <c r="C376" i="22"/>
  <c r="C364" i="22"/>
  <c r="C363" i="22"/>
  <c r="C362" i="22"/>
  <c r="C361" i="22"/>
  <c r="C360" i="22"/>
  <c r="C359" i="22"/>
  <c r="C358" i="22"/>
  <c r="C357" i="22"/>
  <c r="C356" i="22"/>
  <c r="C355" i="22"/>
  <c r="C354" i="22"/>
  <c r="C353" i="22"/>
  <c r="C352" i="22"/>
  <c r="C351" i="22"/>
  <c r="C350" i="22"/>
  <c r="C349" i="22"/>
  <c r="C348" i="22"/>
  <c r="C347" i="22"/>
  <c r="C346" i="22"/>
  <c r="C345" i="22"/>
  <c r="C333" i="22"/>
  <c r="C332" i="22"/>
  <c r="C331" i="22"/>
  <c r="C330" i="22"/>
  <c r="C329" i="22"/>
  <c r="C328" i="22"/>
  <c r="C327" i="22"/>
  <c r="C326" i="22"/>
  <c r="C325" i="22"/>
  <c r="C324" i="22"/>
  <c r="C323" i="22"/>
  <c r="C322" i="22"/>
  <c r="C321" i="22"/>
  <c r="C320" i="22"/>
  <c r="C319" i="22"/>
  <c r="C318" i="22"/>
  <c r="C317" i="22"/>
  <c r="C316" i="22"/>
  <c r="C315" i="22"/>
  <c r="C314" i="22"/>
  <c r="C302" i="22"/>
  <c r="C301" i="22"/>
  <c r="C300" i="22"/>
  <c r="C299" i="22"/>
  <c r="C298" i="22"/>
  <c r="C297" i="22"/>
  <c r="C296" i="22"/>
  <c r="C295" i="22"/>
  <c r="C294" i="22"/>
  <c r="C293" i="22"/>
  <c r="C292" i="22"/>
  <c r="C291" i="22"/>
  <c r="C290" i="22"/>
  <c r="C289" i="22"/>
  <c r="C288" i="22"/>
  <c r="C287" i="22"/>
  <c r="C286" i="22"/>
  <c r="C285" i="22"/>
  <c r="C284" i="22"/>
  <c r="C283" i="22"/>
  <c r="C271" i="22"/>
  <c r="C270" i="22"/>
  <c r="C269" i="22"/>
  <c r="C268" i="22"/>
  <c r="C267" i="22"/>
  <c r="C266" i="22"/>
  <c r="C265" i="22"/>
  <c r="C264" i="22"/>
  <c r="C263" i="22"/>
  <c r="C262" i="22"/>
  <c r="C261" i="22"/>
  <c r="C260" i="22"/>
  <c r="C259" i="22"/>
  <c r="C258" i="22"/>
  <c r="C257" i="22"/>
  <c r="C256" i="22"/>
  <c r="C255" i="22"/>
  <c r="C254" i="22"/>
  <c r="C253" i="22"/>
  <c r="C252" i="22"/>
  <c r="C240" i="22"/>
  <c r="C239" i="22"/>
  <c r="C238" i="22"/>
  <c r="C237" i="22"/>
  <c r="C236" i="22"/>
  <c r="C235" i="22"/>
  <c r="C234" i="22"/>
  <c r="C233" i="22"/>
  <c r="C232" i="22"/>
  <c r="C231" i="22"/>
  <c r="C230" i="22"/>
  <c r="C229" i="22"/>
  <c r="C228" i="22"/>
  <c r="C227" i="22"/>
  <c r="C226" i="22"/>
  <c r="C225" i="22"/>
  <c r="C224" i="22"/>
  <c r="C223" i="22"/>
  <c r="C222" i="22"/>
  <c r="C221" i="22"/>
  <c r="C208" i="22"/>
  <c r="C207" i="22"/>
  <c r="C206" i="22"/>
  <c r="C205" i="22"/>
  <c r="C204" i="22"/>
  <c r="C203" i="22"/>
  <c r="C202" i="22"/>
  <c r="C201" i="22"/>
  <c r="C200" i="22"/>
  <c r="C199" i="22"/>
  <c r="C198" i="22"/>
  <c r="C197" i="22"/>
  <c r="C196" i="22"/>
  <c r="C195" i="22"/>
  <c r="C194" i="22"/>
  <c r="C193" i="22"/>
  <c r="C192" i="22"/>
  <c r="C191" i="22"/>
  <c r="C190" i="22"/>
  <c r="C189" i="22"/>
  <c r="C177" i="22"/>
  <c r="C176" i="22"/>
  <c r="C175" i="22"/>
  <c r="C174" i="22"/>
  <c r="C173" i="22"/>
  <c r="C172" i="22"/>
  <c r="C171" i="22"/>
  <c r="C170" i="22"/>
  <c r="C169" i="22"/>
  <c r="C168" i="22"/>
  <c r="C167" i="22"/>
  <c r="C166" i="22"/>
  <c r="C165" i="22"/>
  <c r="C164" i="22"/>
  <c r="C163" i="22"/>
  <c r="C162" i="22"/>
  <c r="C161" i="22"/>
  <c r="C160" i="22"/>
  <c r="C159" i="22"/>
  <c r="C158" i="22"/>
  <c r="C146" i="22"/>
  <c r="C145" i="22"/>
  <c r="C144" i="22"/>
  <c r="C143" i="22"/>
  <c r="C142" i="22"/>
  <c r="C141" i="22"/>
  <c r="C140" i="22"/>
  <c r="C139" i="22"/>
  <c r="C138" i="22"/>
  <c r="C137" i="22"/>
  <c r="C136" i="22"/>
  <c r="C135" i="22"/>
  <c r="C134" i="22"/>
  <c r="C133" i="22"/>
  <c r="C132" i="22"/>
  <c r="C131" i="22"/>
  <c r="C130" i="22"/>
  <c r="C129" i="22"/>
  <c r="C128" i="22"/>
  <c r="C127" i="22"/>
  <c r="C115" i="22"/>
  <c r="C114" i="22"/>
  <c r="C113" i="22"/>
  <c r="C112" i="22"/>
  <c r="C111" i="22"/>
  <c r="C110" i="22"/>
  <c r="C109" i="22"/>
  <c r="C108" i="22"/>
  <c r="C107" i="22"/>
  <c r="C106" i="22"/>
  <c r="C105" i="22"/>
  <c r="C104" i="22"/>
  <c r="C103" i="22"/>
  <c r="C102" i="22"/>
  <c r="C101" i="22"/>
  <c r="C100" i="22"/>
  <c r="C99" i="22"/>
  <c r="C98" i="22"/>
  <c r="C97" i="22"/>
  <c r="C96" i="22"/>
  <c r="C84" i="22"/>
  <c r="C83" i="22"/>
  <c r="C82" i="22"/>
  <c r="C81" i="22"/>
  <c r="C80" i="22"/>
  <c r="C79" i="22"/>
  <c r="C78" i="22"/>
  <c r="C77" i="22"/>
  <c r="C76" i="22"/>
  <c r="C75" i="22"/>
  <c r="C74" i="22"/>
  <c r="C73" i="22"/>
  <c r="C72" i="22"/>
  <c r="C71" i="22"/>
  <c r="C70" i="22"/>
  <c r="C69" i="22"/>
  <c r="C68" i="22"/>
  <c r="C67" i="22"/>
  <c r="C66" i="22"/>
  <c r="C65" i="22"/>
  <c r="C33" i="22"/>
  <c r="C52" i="22"/>
  <c r="C51" i="22"/>
  <c r="C50" i="22"/>
  <c r="C49" i="22"/>
  <c r="C48" i="22"/>
  <c r="C47" i="22"/>
  <c r="C46" i="22"/>
  <c r="C45" i="22"/>
  <c r="C44" i="22"/>
  <c r="C43" i="22"/>
  <c r="C42" i="22"/>
  <c r="C41" i="22"/>
  <c r="C40" i="22"/>
  <c r="C39" i="22"/>
  <c r="C38" i="22"/>
  <c r="C37" i="22"/>
  <c r="C36" i="22"/>
  <c r="C35" i="22"/>
  <c r="C34" i="22"/>
  <c r="C2" i="22"/>
  <c r="C3" i="22"/>
  <c r="C4" i="22"/>
  <c r="C5" i="22"/>
  <c r="C6" i="22"/>
  <c r="C7" i="22"/>
  <c r="C8" i="22"/>
  <c r="C9" i="22"/>
  <c r="C10" i="22"/>
  <c r="C11" i="22"/>
  <c r="C12" i="22"/>
  <c r="C13" i="22"/>
  <c r="C14" i="22"/>
  <c r="C15" i="22"/>
  <c r="C16" i="22"/>
  <c r="C17" i="22"/>
  <c r="C18" i="22"/>
  <c r="C19" i="22"/>
  <c r="C20" i="22"/>
  <c r="C21" i="22"/>
  <c r="B114" i="26"/>
  <c r="B115" i="26"/>
  <c r="B116" i="26"/>
  <c r="B117" i="26"/>
  <c r="B118" i="26"/>
  <c r="B119" i="26"/>
  <c r="B120" i="26"/>
  <c r="B121" i="26"/>
  <c r="B122" i="26"/>
  <c r="B123" i="26"/>
  <c r="B124" i="26"/>
  <c r="B125" i="26"/>
  <c r="B126" i="26"/>
  <c r="B127" i="26"/>
  <c r="B113" i="26"/>
  <c r="B112" i="25"/>
  <c r="B113" i="25"/>
  <c r="B114" i="25"/>
  <c r="B115" i="25"/>
  <c r="B116" i="25"/>
  <c r="B117" i="25"/>
  <c r="B118" i="25"/>
  <c r="B119" i="25"/>
  <c r="B120" i="25"/>
  <c r="B121" i="25"/>
  <c r="B122" i="25"/>
  <c r="B123" i="25"/>
  <c r="B124" i="25"/>
  <c r="B125" i="25"/>
  <c r="B126" i="25"/>
  <c r="B127" i="25"/>
  <c r="B111" i="25"/>
  <c r="B109" i="24"/>
  <c r="B110" i="24"/>
  <c r="B111" i="24"/>
  <c r="B112" i="24"/>
  <c r="B113" i="24"/>
  <c r="B114" i="24"/>
  <c r="B115" i="24"/>
  <c r="B116" i="24"/>
  <c r="B117" i="24"/>
  <c r="B118" i="24"/>
  <c r="B119" i="24"/>
  <c r="B120" i="24"/>
  <c r="B121" i="24"/>
  <c r="B122" i="24"/>
  <c r="B108" i="24"/>
  <c r="B107" i="23"/>
  <c r="B108" i="23"/>
  <c r="B109" i="23"/>
  <c r="B110" i="23"/>
  <c r="B111" i="23"/>
  <c r="B112" i="23"/>
  <c r="B113" i="23"/>
  <c r="B114" i="23"/>
  <c r="B115" i="23"/>
  <c r="B116" i="23"/>
  <c r="B117" i="23"/>
  <c r="B118" i="23"/>
  <c r="B119" i="23"/>
  <c r="B120" i="23"/>
  <c r="B121" i="23"/>
  <c r="B122" i="23"/>
  <c r="B123" i="23"/>
  <c r="B106" i="23"/>
  <c r="B117" i="16"/>
  <c r="B118" i="16"/>
  <c r="B119" i="16"/>
  <c r="B120" i="16"/>
  <c r="B121" i="16"/>
  <c r="B122" i="16"/>
  <c r="B123" i="16"/>
  <c r="B124" i="16"/>
  <c r="B125" i="16"/>
  <c r="B126" i="16"/>
  <c r="B127" i="16"/>
  <c r="B128" i="16"/>
  <c r="B129" i="16"/>
  <c r="B130" i="16"/>
  <c r="B131" i="16"/>
  <c r="B116" i="16"/>
  <c r="B127" i="15"/>
  <c r="B112" i="15"/>
  <c r="B113" i="15"/>
  <c r="B114" i="15"/>
  <c r="B115" i="15"/>
  <c r="B116" i="15"/>
  <c r="B117" i="15"/>
  <c r="B118" i="15"/>
  <c r="B119" i="15"/>
  <c r="B120" i="15"/>
  <c r="B121" i="15"/>
  <c r="B122" i="15"/>
  <c r="B123" i="15"/>
  <c r="B124" i="15"/>
  <c r="B125" i="15"/>
  <c r="B126" i="15"/>
  <c r="B111" i="15"/>
  <c r="B118" i="14"/>
  <c r="B119" i="14"/>
  <c r="B120" i="14"/>
  <c r="B121" i="14"/>
  <c r="B122" i="14"/>
  <c r="B123" i="14"/>
  <c r="B124" i="14"/>
  <c r="B125" i="14"/>
  <c r="B126" i="14"/>
  <c r="B127" i="14"/>
  <c r="B128" i="14"/>
  <c r="B129" i="14"/>
  <c r="B130" i="14"/>
  <c r="B131" i="14"/>
  <c r="B132" i="14"/>
  <c r="B133" i="14"/>
  <c r="B134" i="14"/>
  <c r="B117" i="14"/>
  <c r="B113" i="13"/>
  <c r="B114" i="13"/>
  <c r="B115" i="13"/>
  <c r="B116" i="13"/>
  <c r="B117" i="13"/>
  <c r="B118" i="13"/>
  <c r="B119" i="13"/>
  <c r="B120" i="13"/>
  <c r="B121" i="13"/>
  <c r="B122" i="13"/>
  <c r="B123" i="13"/>
  <c r="B124" i="13"/>
  <c r="B125" i="13"/>
  <c r="B126" i="13"/>
  <c r="B127" i="13"/>
  <c r="B128" i="13"/>
  <c r="B112" i="13"/>
  <c r="B114" i="12"/>
  <c r="B115" i="12"/>
  <c r="B116" i="12"/>
  <c r="B117" i="12"/>
  <c r="B118" i="12"/>
  <c r="B119" i="12"/>
  <c r="B120" i="12"/>
  <c r="B121" i="12"/>
  <c r="B122" i="12"/>
  <c r="B123" i="12"/>
  <c r="B124" i="12"/>
  <c r="B125" i="12"/>
  <c r="B126" i="12"/>
  <c r="B127" i="12"/>
  <c r="B128" i="12"/>
  <c r="B129" i="12"/>
  <c r="B113" i="12"/>
  <c r="B108" i="11"/>
  <c r="B109" i="11"/>
  <c r="B110" i="11"/>
  <c r="B111" i="11"/>
  <c r="B112" i="11"/>
  <c r="B113" i="11"/>
  <c r="B114" i="11"/>
  <c r="B115" i="11"/>
  <c r="B116" i="11"/>
  <c r="B117" i="11"/>
  <c r="B118" i="11"/>
  <c r="B119" i="11"/>
  <c r="B120" i="11"/>
  <c r="B121" i="11"/>
  <c r="B122" i="11"/>
  <c r="B123" i="11"/>
  <c r="B124" i="11"/>
  <c r="B107" i="11"/>
  <c r="B113" i="10"/>
  <c r="B114" i="10"/>
  <c r="B115" i="10"/>
  <c r="B116" i="10"/>
  <c r="B117" i="10"/>
  <c r="B118" i="10"/>
  <c r="B119" i="10"/>
  <c r="B120" i="10"/>
  <c r="B121" i="10"/>
  <c r="B122" i="10"/>
  <c r="B123" i="10"/>
  <c r="B124" i="10"/>
  <c r="B125" i="10"/>
  <c r="B126" i="10"/>
  <c r="B127" i="10"/>
  <c r="B128" i="10"/>
  <c r="B129" i="10"/>
  <c r="B112" i="10"/>
  <c r="B114" i="9"/>
  <c r="B115" i="9"/>
  <c r="B116" i="9"/>
  <c r="B117" i="9"/>
  <c r="B118" i="9"/>
  <c r="B119" i="9"/>
  <c r="B120" i="9"/>
  <c r="B121" i="9"/>
  <c r="B122" i="9"/>
  <c r="B123" i="9"/>
  <c r="B124" i="9"/>
  <c r="B125" i="9"/>
  <c r="B126" i="9"/>
  <c r="B127" i="9"/>
  <c r="B128" i="9"/>
  <c r="B129" i="9"/>
  <c r="B130" i="9"/>
  <c r="B113" i="9"/>
  <c r="B111" i="8"/>
  <c r="B112" i="8"/>
  <c r="B113" i="8"/>
  <c r="B114" i="8"/>
  <c r="B115" i="8"/>
  <c r="B116" i="8"/>
  <c r="B117" i="8"/>
  <c r="B118" i="8"/>
  <c r="B119" i="8"/>
  <c r="B120" i="8"/>
  <c r="B121" i="8"/>
  <c r="B122" i="8"/>
  <c r="B123" i="8"/>
  <c r="B124" i="8"/>
  <c r="B125" i="8"/>
  <c r="B126" i="8"/>
  <c r="B127" i="8"/>
  <c r="B110" i="8"/>
  <c r="B108" i="7"/>
  <c r="B109" i="7"/>
  <c r="B110" i="7"/>
  <c r="B111" i="7"/>
  <c r="B112" i="7"/>
  <c r="B113" i="7"/>
  <c r="B114" i="7"/>
  <c r="B115" i="7"/>
  <c r="B116" i="7"/>
  <c r="B117" i="7"/>
  <c r="B118" i="7"/>
  <c r="B119" i="7"/>
  <c r="B120" i="7"/>
  <c r="B121" i="7"/>
  <c r="B122" i="7"/>
  <c r="B123" i="7"/>
  <c r="B107" i="7"/>
  <c r="B101" i="6"/>
  <c r="B102" i="6"/>
  <c r="B103" i="6"/>
  <c r="B104" i="6"/>
  <c r="B105" i="6"/>
  <c r="B106" i="6"/>
  <c r="B107" i="6"/>
  <c r="B108" i="6"/>
  <c r="B109" i="6"/>
  <c r="B110" i="6"/>
  <c r="B111" i="6"/>
  <c r="B100" i="6"/>
  <c r="B109" i="5"/>
  <c r="B110" i="5"/>
  <c r="B111" i="5"/>
  <c r="B112" i="5"/>
  <c r="B113" i="5"/>
  <c r="B114" i="5"/>
  <c r="B115" i="5"/>
  <c r="B116" i="5"/>
  <c r="B117" i="5"/>
  <c r="B118" i="5"/>
  <c r="B119" i="5"/>
  <c r="B120" i="5"/>
  <c r="B121" i="5"/>
  <c r="B122" i="5"/>
  <c r="B123" i="5"/>
  <c r="B108" i="5"/>
  <c r="B107" i="4"/>
  <c r="B108" i="4"/>
  <c r="B109" i="4"/>
  <c r="B110" i="4"/>
  <c r="B111" i="4"/>
  <c r="B112" i="4"/>
  <c r="B113" i="4"/>
  <c r="B114" i="4"/>
  <c r="B115" i="4"/>
  <c r="B116" i="4"/>
  <c r="B117" i="4"/>
  <c r="B118" i="4"/>
  <c r="B119" i="4"/>
  <c r="B120" i="4"/>
  <c r="B121" i="4"/>
  <c r="B122" i="4"/>
  <c r="B123" i="4"/>
  <c r="B106" i="4"/>
  <c r="B101" i="3"/>
  <c r="B102" i="3"/>
  <c r="B103" i="3"/>
  <c r="B104" i="3"/>
  <c r="B105" i="3"/>
  <c r="B106" i="3"/>
  <c r="B107" i="3"/>
  <c r="B108" i="3"/>
  <c r="B109" i="3"/>
  <c r="B110" i="3"/>
  <c r="B111" i="3"/>
  <c r="B112" i="3"/>
  <c r="B113" i="3"/>
  <c r="B114" i="3"/>
  <c r="B115" i="3"/>
  <c r="B116" i="3"/>
  <c r="B100" i="3"/>
  <c r="B107" i="2"/>
  <c r="B108" i="2"/>
  <c r="B109" i="2"/>
  <c r="B110" i="2"/>
  <c r="B111" i="2"/>
  <c r="B112" i="2"/>
  <c r="B113" i="2"/>
  <c r="B114" i="2"/>
  <c r="B115" i="2"/>
  <c r="B116" i="2"/>
  <c r="B117" i="2"/>
  <c r="B118" i="2"/>
  <c r="B119" i="2"/>
  <c r="B120" i="2"/>
  <c r="B121" i="2"/>
  <c r="B122" i="2"/>
  <c r="B106" i="2"/>
  <c r="B110" i="1"/>
  <c r="B111" i="1"/>
  <c r="B112" i="1"/>
  <c r="B113" i="1"/>
  <c r="B114" i="1"/>
  <c r="B115" i="1"/>
  <c r="B116" i="1"/>
  <c r="B117" i="1"/>
  <c r="B118" i="1"/>
  <c r="B119" i="1"/>
  <c r="B120" i="1"/>
  <c r="B121" i="1"/>
  <c r="B122" i="1"/>
  <c r="B123" i="1"/>
  <c r="B124" i="1"/>
  <c r="B109" i="1"/>
  <c r="U103" i="18"/>
  <c r="U104" i="18"/>
  <c r="U105" i="18"/>
  <c r="U106" i="18"/>
  <c r="U107" i="18"/>
  <c r="U108" i="18"/>
  <c r="U109" i="18"/>
  <c r="U110" i="18"/>
  <c r="U111" i="18"/>
  <c r="U112" i="18"/>
  <c r="U113" i="18"/>
  <c r="U114" i="18"/>
  <c r="U115" i="18"/>
  <c r="U116" i="18"/>
  <c r="U117" i="18"/>
  <c r="U118" i="18"/>
  <c r="U119" i="18"/>
  <c r="U102" i="18"/>
  <c r="T114" i="18"/>
  <c r="S106" i="18"/>
  <c r="U83" i="18"/>
  <c r="U84" i="18"/>
  <c r="U85" i="18"/>
  <c r="U88" i="18"/>
  <c r="U89" i="18"/>
  <c r="U90" i="18"/>
  <c r="U91" i="18"/>
  <c r="U92" i="18"/>
  <c r="U95" i="18"/>
  <c r="U96" i="18"/>
  <c r="U97" i="18"/>
  <c r="T83" i="18"/>
  <c r="T95" i="18"/>
  <c r="S95" i="18"/>
  <c r="U63" i="18"/>
  <c r="U64" i="18"/>
  <c r="U65" i="18"/>
  <c r="U66" i="18"/>
  <c r="U67" i="18"/>
  <c r="U68" i="18"/>
  <c r="U69" i="18"/>
  <c r="U70" i="18"/>
  <c r="U71" i="18"/>
  <c r="U72" i="18"/>
  <c r="U73" i="18"/>
  <c r="U74" i="18"/>
  <c r="U75" i="18"/>
  <c r="U77" i="18"/>
  <c r="U78" i="18"/>
  <c r="U79" i="18"/>
  <c r="U62" i="18"/>
  <c r="T65" i="18"/>
  <c r="T79" i="18"/>
  <c r="U43" i="18"/>
  <c r="U44" i="18"/>
  <c r="U45" i="18"/>
  <c r="U46" i="18"/>
  <c r="U47" i="18"/>
  <c r="U48" i="18"/>
  <c r="U49" i="18"/>
  <c r="U50" i="18"/>
  <c r="U51" i="18"/>
  <c r="U52" i="18"/>
  <c r="U53" i="18"/>
  <c r="U54" i="18"/>
  <c r="U55" i="18"/>
  <c r="U56" i="18"/>
  <c r="U57" i="18"/>
  <c r="U58" i="18"/>
  <c r="U59" i="18"/>
  <c r="U42" i="18"/>
  <c r="T53" i="18"/>
  <c r="T54" i="18"/>
  <c r="T55" i="18"/>
  <c r="S54" i="18"/>
  <c r="S57" i="18"/>
  <c r="U23" i="18"/>
  <c r="U25" i="18"/>
  <c r="U26" i="18"/>
  <c r="U27" i="18"/>
  <c r="U28" i="18"/>
  <c r="U29" i="18"/>
  <c r="U30" i="18"/>
  <c r="U31" i="18"/>
  <c r="U32" i="18"/>
  <c r="U33" i="18"/>
  <c r="U34" i="18"/>
  <c r="U35" i="18"/>
  <c r="U36" i="18"/>
  <c r="U37" i="18"/>
  <c r="U38" i="18"/>
  <c r="U39" i="18"/>
  <c r="U22" i="18"/>
  <c r="T26" i="18"/>
  <c r="T22" i="18"/>
  <c r="S24" i="18"/>
  <c r="S25" i="18"/>
  <c r="S22" i="18"/>
  <c r="U3" i="18"/>
  <c r="U4" i="18"/>
  <c r="U5" i="18"/>
  <c r="U6" i="18"/>
  <c r="U7" i="18"/>
  <c r="U8" i="18"/>
  <c r="U9" i="18"/>
  <c r="U10" i="18"/>
  <c r="U11" i="18"/>
  <c r="U12" i="18"/>
  <c r="U13" i="18"/>
  <c r="U14" i="18"/>
  <c r="U15" i="18"/>
  <c r="U16" i="18"/>
  <c r="U17" i="18"/>
  <c r="U18" i="18"/>
  <c r="U19" i="18"/>
  <c r="U2" i="18"/>
  <c r="B94" i="26"/>
  <c r="B95" i="26"/>
  <c r="B96" i="26"/>
  <c r="B97" i="26"/>
  <c r="B98" i="26"/>
  <c r="B99" i="26"/>
  <c r="B100" i="26"/>
  <c r="B101" i="26"/>
  <c r="B102" i="26"/>
  <c r="B103" i="26"/>
  <c r="B104" i="26"/>
  <c r="B105" i="26"/>
  <c r="B106" i="26"/>
  <c r="B107" i="26"/>
  <c r="B108" i="26"/>
  <c r="B109" i="26"/>
  <c r="B110" i="26"/>
  <c r="B93" i="26"/>
  <c r="B81" i="26"/>
  <c r="B82" i="26"/>
  <c r="B83" i="26"/>
  <c r="B84" i="26"/>
  <c r="B85" i="26"/>
  <c r="B86" i="26"/>
  <c r="B87" i="26"/>
  <c r="B88" i="26"/>
  <c r="B89" i="26"/>
  <c r="B90" i="26"/>
  <c r="B80" i="26"/>
  <c r="B62" i="26"/>
  <c r="B63" i="26"/>
  <c r="B64" i="26"/>
  <c r="B65" i="26"/>
  <c r="B66" i="26"/>
  <c r="B67" i="26"/>
  <c r="B68" i="26"/>
  <c r="B69" i="26"/>
  <c r="B70" i="26"/>
  <c r="B71" i="26"/>
  <c r="B72" i="26"/>
  <c r="B73" i="26"/>
  <c r="B74" i="26"/>
  <c r="B75" i="26"/>
  <c r="B76" i="26"/>
  <c r="B77" i="26"/>
  <c r="B61" i="26"/>
  <c r="B42" i="26"/>
  <c r="B43" i="26"/>
  <c r="B44" i="26"/>
  <c r="B45" i="26"/>
  <c r="B46" i="26"/>
  <c r="B47" i="26"/>
  <c r="B48" i="26"/>
  <c r="B49" i="26"/>
  <c r="B50" i="26"/>
  <c r="B51" i="26"/>
  <c r="B52" i="26"/>
  <c r="B53" i="26"/>
  <c r="B54" i="26"/>
  <c r="B55" i="26"/>
  <c r="B56" i="26"/>
  <c r="B57" i="26"/>
  <c r="B58" i="26"/>
  <c r="B41" i="26"/>
  <c r="B23" i="26"/>
  <c r="B24" i="26"/>
  <c r="B25" i="26"/>
  <c r="B26" i="26"/>
  <c r="B27" i="26"/>
  <c r="B28" i="26"/>
  <c r="B29" i="26"/>
  <c r="B30" i="26"/>
  <c r="B31" i="26"/>
  <c r="B32" i="26"/>
  <c r="B33" i="26"/>
  <c r="B34" i="26"/>
  <c r="B35" i="26"/>
  <c r="B36" i="26"/>
  <c r="B37" i="26"/>
  <c r="B38" i="26"/>
  <c r="B22" i="26"/>
  <c r="B3" i="26"/>
  <c r="B4" i="26"/>
  <c r="B5" i="26"/>
  <c r="B6" i="26"/>
  <c r="B7" i="26"/>
  <c r="B8" i="26"/>
  <c r="B9" i="26"/>
  <c r="B10" i="26"/>
  <c r="B11" i="26"/>
  <c r="B12" i="26"/>
  <c r="B13" i="26"/>
  <c r="B14" i="26"/>
  <c r="B15" i="26"/>
  <c r="B16" i="26"/>
  <c r="B17" i="26"/>
  <c r="B18" i="26"/>
  <c r="B19" i="26"/>
  <c r="B2" i="26"/>
  <c r="B92" i="25"/>
  <c r="T113" i="18" s="1"/>
  <c r="B93" i="25"/>
  <c r="B94" i="25"/>
  <c r="B95" i="25"/>
  <c r="B96" i="25"/>
  <c r="B97" i="25"/>
  <c r="B98" i="25"/>
  <c r="B99" i="25"/>
  <c r="B100" i="25"/>
  <c r="B101" i="25"/>
  <c r="B102" i="25"/>
  <c r="B103" i="25"/>
  <c r="B104" i="25"/>
  <c r="B105" i="25"/>
  <c r="B106" i="25"/>
  <c r="B107" i="25"/>
  <c r="B108" i="25"/>
  <c r="B91" i="25"/>
  <c r="T109" i="18" s="1"/>
  <c r="B74" i="25"/>
  <c r="B75" i="25"/>
  <c r="B76" i="25"/>
  <c r="B77" i="25"/>
  <c r="B78" i="25"/>
  <c r="B79" i="25"/>
  <c r="T94" i="18" s="1"/>
  <c r="B80" i="25"/>
  <c r="B81" i="25"/>
  <c r="B82" i="25"/>
  <c r="B83" i="25"/>
  <c r="B84" i="25"/>
  <c r="B85" i="25"/>
  <c r="B86" i="25"/>
  <c r="B87" i="25"/>
  <c r="B88" i="25"/>
  <c r="B73" i="25"/>
  <c r="T90" i="18" s="1"/>
  <c r="B56" i="25"/>
  <c r="B57" i="25"/>
  <c r="T78" i="18" s="1"/>
  <c r="B58" i="25"/>
  <c r="B59" i="25"/>
  <c r="B60" i="25"/>
  <c r="B61" i="25"/>
  <c r="B62" i="25"/>
  <c r="B63" i="25"/>
  <c r="B64" i="25"/>
  <c r="B65" i="25"/>
  <c r="B66" i="25"/>
  <c r="B67" i="25"/>
  <c r="B68" i="25"/>
  <c r="B69" i="25"/>
  <c r="B70" i="25"/>
  <c r="B55" i="25"/>
  <c r="T73" i="18" s="1"/>
  <c r="B39" i="25"/>
  <c r="B40" i="25"/>
  <c r="B41" i="25"/>
  <c r="B42" i="25"/>
  <c r="B43" i="25"/>
  <c r="B44" i="25"/>
  <c r="B45" i="25"/>
  <c r="B46" i="25"/>
  <c r="B47" i="25"/>
  <c r="B48" i="25"/>
  <c r="B49" i="25"/>
  <c r="B50" i="25"/>
  <c r="B51" i="25"/>
  <c r="B52" i="25"/>
  <c r="B38" i="25"/>
  <c r="T48" i="18" s="1"/>
  <c r="B23" i="25"/>
  <c r="B24" i="25"/>
  <c r="B25" i="25"/>
  <c r="B26" i="25"/>
  <c r="B27" i="25"/>
  <c r="B28" i="25"/>
  <c r="B29" i="25"/>
  <c r="T23" i="18" s="1"/>
  <c r="B30" i="25"/>
  <c r="T24" i="18" s="1"/>
  <c r="B31" i="25"/>
  <c r="B32" i="25"/>
  <c r="B33" i="25"/>
  <c r="B34" i="25"/>
  <c r="B35" i="25"/>
  <c r="B22" i="25"/>
  <c r="T33" i="18" s="1"/>
  <c r="B3" i="25"/>
  <c r="B4" i="25"/>
  <c r="B5" i="25"/>
  <c r="B6" i="25"/>
  <c r="B7" i="25"/>
  <c r="B8" i="25"/>
  <c r="B9" i="25"/>
  <c r="B10" i="25"/>
  <c r="B11" i="25"/>
  <c r="B12" i="25"/>
  <c r="B13" i="25"/>
  <c r="B14" i="25"/>
  <c r="B15" i="25"/>
  <c r="B16" i="25"/>
  <c r="B17" i="25"/>
  <c r="B18" i="25"/>
  <c r="B19" i="25"/>
  <c r="B2" i="25"/>
  <c r="T13" i="18" s="1"/>
  <c r="B89" i="24"/>
  <c r="B90" i="24"/>
  <c r="B91" i="24"/>
  <c r="B92" i="24"/>
  <c r="B93" i="24"/>
  <c r="B94" i="24"/>
  <c r="B95" i="24"/>
  <c r="B96" i="24"/>
  <c r="S118" i="18" s="1"/>
  <c r="B97" i="24"/>
  <c r="S119" i="18" s="1"/>
  <c r="B98" i="24"/>
  <c r="B99" i="24"/>
  <c r="B100" i="24"/>
  <c r="B101" i="24"/>
  <c r="B102" i="24"/>
  <c r="B103" i="24"/>
  <c r="B104" i="24"/>
  <c r="B105" i="24"/>
  <c r="B88" i="24"/>
  <c r="S108" i="18" s="1"/>
  <c r="B74" i="24"/>
  <c r="B75" i="24"/>
  <c r="S94" i="18" s="1"/>
  <c r="B76" i="24"/>
  <c r="B77" i="24"/>
  <c r="B78" i="24"/>
  <c r="B79" i="24"/>
  <c r="B80" i="24"/>
  <c r="B81" i="24"/>
  <c r="B82" i="24"/>
  <c r="B83" i="24"/>
  <c r="B84" i="24"/>
  <c r="B85" i="24"/>
  <c r="B73" i="24"/>
  <c r="S96" i="18" s="1"/>
  <c r="B54" i="24"/>
  <c r="S75" i="18" s="1"/>
  <c r="B55" i="24"/>
  <c r="S64" i="18" s="1"/>
  <c r="B56" i="24"/>
  <c r="B57" i="24"/>
  <c r="B58" i="24"/>
  <c r="B59" i="24"/>
  <c r="B60" i="24"/>
  <c r="B61" i="24"/>
  <c r="B62" i="24"/>
  <c r="B63" i="24"/>
  <c r="B64" i="24"/>
  <c r="B65" i="24"/>
  <c r="B66" i="24"/>
  <c r="B67" i="24"/>
  <c r="B68" i="24"/>
  <c r="B69" i="24"/>
  <c r="B70" i="24"/>
  <c r="B53" i="24"/>
  <c r="S65" i="18" s="1"/>
  <c r="B39" i="24"/>
  <c r="B40" i="24"/>
  <c r="B41" i="24"/>
  <c r="B42" i="24"/>
  <c r="B43" i="24"/>
  <c r="B44" i="24"/>
  <c r="B45" i="24"/>
  <c r="S55" i="18" s="1"/>
  <c r="B46" i="24"/>
  <c r="B47" i="24"/>
  <c r="B48" i="24"/>
  <c r="B49" i="24"/>
  <c r="B50" i="24"/>
  <c r="B38" i="24"/>
  <c r="S59" i="18" s="1"/>
  <c r="B23" i="24"/>
  <c r="B24" i="24"/>
  <c r="B25" i="24"/>
  <c r="B26" i="24"/>
  <c r="B27" i="24"/>
  <c r="S23" i="18" s="1"/>
  <c r="B28" i="24"/>
  <c r="B29" i="24"/>
  <c r="B30" i="24"/>
  <c r="B31" i="24"/>
  <c r="B32" i="24"/>
  <c r="B33" i="24"/>
  <c r="B34" i="24"/>
  <c r="B35" i="24"/>
  <c r="B22" i="24"/>
  <c r="S26" i="18" s="1"/>
  <c r="B3" i="24"/>
  <c r="B4" i="24"/>
  <c r="B5" i="24"/>
  <c r="S7" i="18" s="1"/>
  <c r="B6" i="24"/>
  <c r="S8" i="18" s="1"/>
  <c r="B7" i="24"/>
  <c r="S9" i="18" s="1"/>
  <c r="B8" i="24"/>
  <c r="B9" i="24"/>
  <c r="B10" i="24"/>
  <c r="B11" i="24"/>
  <c r="B12" i="24"/>
  <c r="B13" i="24"/>
  <c r="B14" i="24"/>
  <c r="B15" i="24"/>
  <c r="B16" i="24"/>
  <c r="B17" i="24"/>
  <c r="B18" i="24"/>
  <c r="B19" i="24"/>
  <c r="B2" i="24"/>
  <c r="S10" i="18" s="1"/>
  <c r="B87" i="23"/>
  <c r="B88" i="23"/>
  <c r="B89" i="23"/>
  <c r="B90" i="23"/>
  <c r="B91" i="23"/>
  <c r="B92" i="23"/>
  <c r="B93" i="23"/>
  <c r="B94" i="23"/>
  <c r="B95" i="23"/>
  <c r="B96" i="23"/>
  <c r="B97" i="23"/>
  <c r="B98" i="23"/>
  <c r="B99" i="23"/>
  <c r="B100" i="23"/>
  <c r="B101" i="23"/>
  <c r="B102" i="23"/>
  <c r="B103" i="23"/>
  <c r="B86" i="23"/>
  <c r="B73" i="23"/>
  <c r="B74" i="23"/>
  <c r="B75" i="23"/>
  <c r="B76" i="23"/>
  <c r="B77" i="23"/>
  <c r="B78" i="23"/>
  <c r="B79" i="23"/>
  <c r="B80" i="23"/>
  <c r="B81" i="23"/>
  <c r="B82" i="23"/>
  <c r="B83" i="23"/>
  <c r="B72" i="23"/>
  <c r="B56" i="23"/>
  <c r="B57" i="23"/>
  <c r="B58" i="23"/>
  <c r="B59" i="23"/>
  <c r="B60" i="23"/>
  <c r="B61" i="23"/>
  <c r="B62" i="23"/>
  <c r="B63" i="23"/>
  <c r="B64" i="23"/>
  <c r="B65" i="23"/>
  <c r="B66" i="23"/>
  <c r="B67" i="23"/>
  <c r="B68" i="23"/>
  <c r="B69" i="23"/>
  <c r="B55" i="23"/>
  <c r="B40" i="23"/>
  <c r="B41" i="23"/>
  <c r="B42" i="23"/>
  <c r="B43" i="23"/>
  <c r="B44" i="23"/>
  <c r="B45" i="23"/>
  <c r="B46" i="23"/>
  <c r="B47" i="23"/>
  <c r="B48" i="23"/>
  <c r="B49" i="23"/>
  <c r="B50" i="23"/>
  <c r="B51" i="23"/>
  <c r="B52" i="23"/>
  <c r="B39" i="23"/>
  <c r="B22" i="23"/>
  <c r="B23" i="23"/>
  <c r="B24" i="23"/>
  <c r="B25" i="23"/>
  <c r="B26" i="23"/>
  <c r="B27" i="23"/>
  <c r="B28" i="23"/>
  <c r="B29" i="23"/>
  <c r="B30" i="23"/>
  <c r="B31" i="23"/>
  <c r="B32" i="23"/>
  <c r="B33" i="23"/>
  <c r="B34" i="23"/>
  <c r="B35" i="23"/>
  <c r="B36" i="23"/>
  <c r="B21" i="23"/>
  <c r="B3" i="23"/>
  <c r="B4" i="23"/>
  <c r="B5" i="23"/>
  <c r="B6" i="23"/>
  <c r="B7" i="23"/>
  <c r="B8" i="23"/>
  <c r="B9" i="23"/>
  <c r="B10" i="23"/>
  <c r="B11" i="23"/>
  <c r="B12" i="23"/>
  <c r="B13" i="23"/>
  <c r="B14" i="23"/>
  <c r="B15" i="23"/>
  <c r="B16" i="23"/>
  <c r="B17" i="23"/>
  <c r="B18" i="23"/>
  <c r="B2" i="23"/>
  <c r="A3" i="21"/>
  <c r="B113" i="16"/>
  <c r="B112" i="16"/>
  <c r="B111" i="16"/>
  <c r="B110" i="16"/>
  <c r="B109" i="16"/>
  <c r="B108" i="16"/>
  <c r="B107" i="16"/>
  <c r="B106" i="16"/>
  <c r="B105" i="16"/>
  <c r="B104" i="16"/>
  <c r="B103" i="16"/>
  <c r="B102" i="16"/>
  <c r="B101" i="16"/>
  <c r="B100" i="16"/>
  <c r="B99" i="16"/>
  <c r="B98" i="16"/>
  <c r="B97" i="16"/>
  <c r="B96" i="16"/>
  <c r="B93" i="16"/>
  <c r="B92" i="16"/>
  <c r="B91" i="16"/>
  <c r="B90" i="16"/>
  <c r="B89" i="16"/>
  <c r="B88" i="16"/>
  <c r="B87" i="16"/>
  <c r="B86" i="16"/>
  <c r="B85" i="16"/>
  <c r="B84" i="16"/>
  <c r="B83" i="16"/>
  <c r="B82" i="16"/>
  <c r="B81" i="16"/>
  <c r="B80" i="16"/>
  <c r="B79" i="16"/>
  <c r="B78" i="16"/>
  <c r="B75" i="16"/>
  <c r="B74" i="16"/>
  <c r="B73" i="16"/>
  <c r="B72" i="16"/>
  <c r="B71" i="16"/>
  <c r="B70" i="16"/>
  <c r="B69" i="16"/>
  <c r="B68" i="16"/>
  <c r="B67" i="16"/>
  <c r="B66" i="16"/>
  <c r="B65" i="16"/>
  <c r="B64" i="16"/>
  <c r="B63" i="16"/>
  <c r="B62" i="16"/>
  <c r="B61" i="16"/>
  <c r="B60" i="16"/>
  <c r="B59" i="16"/>
  <c r="B56" i="16"/>
  <c r="B55" i="16"/>
  <c r="B54" i="16"/>
  <c r="B53" i="16"/>
  <c r="B52" i="16"/>
  <c r="B51" i="16"/>
  <c r="B50" i="16"/>
  <c r="B49" i="16"/>
  <c r="B48" i="16"/>
  <c r="B47" i="16"/>
  <c r="B46" i="16"/>
  <c r="B45" i="16"/>
  <c r="B44" i="16"/>
  <c r="B43" i="16"/>
  <c r="B42" i="16"/>
  <c r="B39" i="16"/>
  <c r="B38" i="16"/>
  <c r="B37" i="16"/>
  <c r="B36" i="16"/>
  <c r="B35" i="16"/>
  <c r="B34" i="16"/>
  <c r="B33" i="16"/>
  <c r="B32" i="16"/>
  <c r="B31" i="16"/>
  <c r="B30" i="16"/>
  <c r="B29" i="16"/>
  <c r="B28" i="16"/>
  <c r="B27" i="16"/>
  <c r="B26" i="16"/>
  <c r="B25" i="16"/>
  <c r="B24" i="16"/>
  <c r="B23" i="16"/>
  <c r="B22" i="16"/>
  <c r="B19" i="16"/>
  <c r="B18" i="16"/>
  <c r="B17" i="16"/>
  <c r="B16" i="16"/>
  <c r="B15" i="16"/>
  <c r="B14" i="16"/>
  <c r="B13" i="16"/>
  <c r="B12" i="16"/>
  <c r="B11" i="16"/>
  <c r="B10" i="16"/>
  <c r="B9" i="16"/>
  <c r="B8" i="16"/>
  <c r="B7" i="16"/>
  <c r="B6" i="16"/>
  <c r="B5" i="16"/>
  <c r="B4" i="16"/>
  <c r="B3" i="16"/>
  <c r="B2" i="16"/>
  <c r="B108" i="15"/>
  <c r="B107" i="15"/>
  <c r="B106" i="15"/>
  <c r="B105" i="15"/>
  <c r="B104" i="15"/>
  <c r="B103" i="15"/>
  <c r="B102" i="15"/>
  <c r="B101" i="15"/>
  <c r="B100" i="15"/>
  <c r="B99" i="15"/>
  <c r="B98" i="15"/>
  <c r="B97" i="15"/>
  <c r="B96" i="15"/>
  <c r="B95" i="15"/>
  <c r="B94" i="15"/>
  <c r="B93" i="15"/>
  <c r="B92" i="15"/>
  <c r="B91" i="15"/>
  <c r="B88" i="15"/>
  <c r="B87" i="15"/>
  <c r="B86" i="15"/>
  <c r="B85" i="15"/>
  <c r="B84" i="15"/>
  <c r="B83" i="15"/>
  <c r="B82" i="15"/>
  <c r="B81" i="15"/>
  <c r="B80" i="15"/>
  <c r="B79" i="15"/>
  <c r="B78" i="15"/>
  <c r="B77" i="15"/>
  <c r="B74" i="15"/>
  <c r="B73" i="15"/>
  <c r="B72" i="15"/>
  <c r="B71" i="15"/>
  <c r="B70" i="15"/>
  <c r="B69" i="15"/>
  <c r="B68" i="15"/>
  <c r="B67" i="15"/>
  <c r="B66" i="15"/>
  <c r="B65" i="15"/>
  <c r="B64" i="15"/>
  <c r="B63" i="15"/>
  <c r="B62" i="15"/>
  <c r="B61" i="15"/>
  <c r="B60" i="15"/>
  <c r="B59" i="15"/>
  <c r="B58" i="15"/>
  <c r="B55" i="15"/>
  <c r="B54" i="15"/>
  <c r="B53" i="15"/>
  <c r="B52" i="15"/>
  <c r="B51" i="15"/>
  <c r="B50" i="15"/>
  <c r="B49" i="15"/>
  <c r="B48" i="15"/>
  <c r="B47" i="15"/>
  <c r="B46" i="15"/>
  <c r="B45" i="15"/>
  <c r="B44" i="15"/>
  <c r="B43" i="15"/>
  <c r="B42" i="15"/>
  <c r="B41" i="15"/>
  <c r="B40" i="15"/>
  <c r="B37" i="15"/>
  <c r="B36" i="15"/>
  <c r="B35" i="15"/>
  <c r="B34" i="15"/>
  <c r="B33" i="15"/>
  <c r="B32" i="15"/>
  <c r="B31" i="15"/>
  <c r="B30" i="15"/>
  <c r="B29" i="15"/>
  <c r="B28" i="15"/>
  <c r="B27" i="15"/>
  <c r="B26" i="15"/>
  <c r="B25" i="15"/>
  <c r="B24" i="15"/>
  <c r="B23" i="15"/>
  <c r="B22" i="15"/>
  <c r="B19" i="15"/>
  <c r="B18" i="15"/>
  <c r="B17" i="15"/>
  <c r="B16" i="15"/>
  <c r="B15" i="15"/>
  <c r="B14" i="15"/>
  <c r="B13" i="15"/>
  <c r="B12" i="15"/>
  <c r="B11" i="15"/>
  <c r="B10" i="15"/>
  <c r="B9" i="15"/>
  <c r="B8" i="15"/>
  <c r="B7" i="15"/>
  <c r="B6" i="15"/>
  <c r="B5" i="15"/>
  <c r="B4" i="15"/>
  <c r="B3" i="15"/>
  <c r="B2" i="15"/>
  <c r="B114" i="14"/>
  <c r="B113" i="14"/>
  <c r="B112" i="14"/>
  <c r="B111" i="14"/>
  <c r="B110" i="14"/>
  <c r="B109" i="14"/>
  <c r="B108" i="14"/>
  <c r="B107" i="14"/>
  <c r="B106" i="14"/>
  <c r="B105" i="14"/>
  <c r="B104" i="14"/>
  <c r="B103" i="14"/>
  <c r="B102" i="14"/>
  <c r="B101" i="14"/>
  <c r="B100" i="14"/>
  <c r="B99" i="14"/>
  <c r="B98" i="14"/>
  <c r="B97" i="14"/>
  <c r="B94" i="14"/>
  <c r="B93" i="14"/>
  <c r="B92" i="14"/>
  <c r="B91" i="14"/>
  <c r="B90" i="14"/>
  <c r="B89" i="14"/>
  <c r="B88" i="14"/>
  <c r="B87" i="14"/>
  <c r="B86" i="14"/>
  <c r="B85" i="14"/>
  <c r="B84" i="14"/>
  <c r="B83" i="14"/>
  <c r="B82" i="14"/>
  <c r="B81" i="14"/>
  <c r="B80" i="14"/>
  <c r="B77" i="14"/>
  <c r="B76" i="14"/>
  <c r="B75" i="14"/>
  <c r="B74" i="14"/>
  <c r="B73" i="14"/>
  <c r="B72" i="14"/>
  <c r="B71" i="14"/>
  <c r="B70" i="14"/>
  <c r="B69" i="14"/>
  <c r="B68" i="14"/>
  <c r="B67" i="14"/>
  <c r="B66" i="14"/>
  <c r="B65" i="14"/>
  <c r="B64" i="14"/>
  <c r="B63" i="14"/>
  <c r="B62" i="14"/>
  <c r="B61" i="14"/>
  <c r="B58" i="14"/>
  <c r="B57" i="14"/>
  <c r="B56" i="14"/>
  <c r="B55" i="14"/>
  <c r="B54" i="14"/>
  <c r="B53" i="14"/>
  <c r="B52" i="14"/>
  <c r="B51" i="14"/>
  <c r="B50" i="14"/>
  <c r="B49" i="14"/>
  <c r="B48" i="14"/>
  <c r="B47" i="14"/>
  <c r="B46" i="14"/>
  <c r="B45" i="14"/>
  <c r="B44" i="14"/>
  <c r="B43" i="14"/>
  <c r="B42" i="14"/>
  <c r="B39" i="14"/>
  <c r="B38" i="14"/>
  <c r="B37" i="14"/>
  <c r="B36" i="14"/>
  <c r="B35" i="14"/>
  <c r="B34" i="14"/>
  <c r="B33" i="14"/>
  <c r="B32" i="14"/>
  <c r="B31" i="14"/>
  <c r="B30" i="14"/>
  <c r="B29" i="14"/>
  <c r="B28" i="14"/>
  <c r="B27" i="14"/>
  <c r="B26" i="14"/>
  <c r="B25" i="14"/>
  <c r="B24" i="14"/>
  <c r="B23" i="14"/>
  <c r="B22" i="14"/>
  <c r="B19" i="14"/>
  <c r="B18" i="14"/>
  <c r="B17" i="14"/>
  <c r="B16" i="14"/>
  <c r="B15" i="14"/>
  <c r="B14" i="14"/>
  <c r="B13" i="14"/>
  <c r="B12" i="14"/>
  <c r="B11" i="14"/>
  <c r="B10" i="14"/>
  <c r="B9" i="14"/>
  <c r="B8" i="14"/>
  <c r="B7" i="14"/>
  <c r="B6" i="14"/>
  <c r="B5" i="14"/>
  <c r="B4" i="14"/>
  <c r="B3" i="14"/>
  <c r="B2" i="14"/>
  <c r="B109" i="13"/>
  <c r="B108" i="13"/>
  <c r="B107" i="13"/>
  <c r="B106" i="13"/>
  <c r="B105" i="13"/>
  <c r="B104" i="13"/>
  <c r="B103" i="13"/>
  <c r="B102" i="13"/>
  <c r="B101" i="13"/>
  <c r="B100" i="13"/>
  <c r="B99" i="13"/>
  <c r="B98" i="13"/>
  <c r="B97" i="13"/>
  <c r="B96" i="13"/>
  <c r="B95" i="13"/>
  <c r="B94" i="13"/>
  <c r="B93" i="13"/>
  <c r="B92" i="13"/>
  <c r="B89" i="13"/>
  <c r="B88" i="13"/>
  <c r="B87" i="13"/>
  <c r="B86" i="13"/>
  <c r="B85" i="13"/>
  <c r="B84" i="13"/>
  <c r="B83" i="13"/>
  <c r="B82" i="13"/>
  <c r="B81" i="13"/>
  <c r="B80" i="13"/>
  <c r="B79" i="13"/>
  <c r="B78" i="13"/>
  <c r="B77" i="13"/>
  <c r="B76" i="13"/>
  <c r="B75" i="13"/>
  <c r="B74" i="13"/>
  <c r="B71" i="13"/>
  <c r="B70" i="13"/>
  <c r="B69" i="13"/>
  <c r="B68" i="13"/>
  <c r="B67" i="13"/>
  <c r="B66" i="13"/>
  <c r="B65" i="13"/>
  <c r="B64" i="13"/>
  <c r="B63" i="13"/>
  <c r="B62" i="13"/>
  <c r="B61" i="13"/>
  <c r="B60" i="13"/>
  <c r="B59" i="13"/>
  <c r="B58" i="13"/>
  <c r="B57" i="13"/>
  <c r="B56" i="13"/>
  <c r="B55" i="13"/>
  <c r="B52" i="13"/>
  <c r="B51" i="13"/>
  <c r="B50" i="13"/>
  <c r="B49" i="13"/>
  <c r="B48" i="13"/>
  <c r="B47" i="13"/>
  <c r="B46" i="13"/>
  <c r="B45" i="13"/>
  <c r="B44" i="13"/>
  <c r="B43" i="13"/>
  <c r="B42" i="13"/>
  <c r="B41" i="13"/>
  <c r="B40" i="13"/>
  <c r="B37" i="13"/>
  <c r="B36" i="13"/>
  <c r="B35" i="13"/>
  <c r="B34" i="13"/>
  <c r="B33" i="13"/>
  <c r="B32" i="13"/>
  <c r="B31" i="13"/>
  <c r="B30" i="13"/>
  <c r="B29" i="13"/>
  <c r="B28" i="13"/>
  <c r="B27" i="13"/>
  <c r="B26" i="13"/>
  <c r="B25" i="13"/>
  <c r="B24" i="13"/>
  <c r="B23" i="13"/>
  <c r="B22" i="13"/>
  <c r="B110" i="12"/>
  <c r="B109" i="12"/>
  <c r="B108" i="12"/>
  <c r="B107" i="12"/>
  <c r="B106" i="12"/>
  <c r="B105" i="12"/>
  <c r="B104" i="12"/>
  <c r="B103" i="12"/>
  <c r="B102" i="12"/>
  <c r="B101" i="12"/>
  <c r="B100" i="12"/>
  <c r="B99" i="12"/>
  <c r="B98" i="12"/>
  <c r="B97" i="12"/>
  <c r="B96" i="12"/>
  <c r="B95" i="12"/>
  <c r="B94" i="12"/>
  <c r="B91" i="12"/>
  <c r="B90" i="12"/>
  <c r="B89" i="12"/>
  <c r="B88" i="12"/>
  <c r="B87" i="12"/>
  <c r="B86" i="12"/>
  <c r="B85" i="12"/>
  <c r="B84" i="12"/>
  <c r="B83" i="12"/>
  <c r="B82" i="12"/>
  <c r="B81" i="12"/>
  <c r="B80" i="12"/>
  <c r="B79" i="12"/>
  <c r="B78" i="12"/>
  <c r="B77" i="12"/>
  <c r="B74" i="12"/>
  <c r="B73" i="12"/>
  <c r="B72" i="12"/>
  <c r="B71" i="12"/>
  <c r="B70" i="12"/>
  <c r="B69" i="12"/>
  <c r="B68" i="12"/>
  <c r="B67" i="12"/>
  <c r="B66" i="12"/>
  <c r="B65" i="12"/>
  <c r="B64" i="12"/>
  <c r="B63" i="12"/>
  <c r="B62" i="12"/>
  <c r="B61" i="12"/>
  <c r="B60" i="12"/>
  <c r="B59" i="12"/>
  <c r="B58" i="12"/>
  <c r="B55" i="12"/>
  <c r="B54" i="12"/>
  <c r="B53" i="12"/>
  <c r="B52" i="12"/>
  <c r="B51" i="12"/>
  <c r="B50" i="12"/>
  <c r="B49" i="12"/>
  <c r="B48" i="12"/>
  <c r="B47" i="12"/>
  <c r="B46" i="12"/>
  <c r="B45" i="12"/>
  <c r="B44" i="12"/>
  <c r="B43" i="12"/>
  <c r="B42" i="12"/>
  <c r="B41" i="12"/>
  <c r="B40" i="12"/>
  <c r="B37" i="12"/>
  <c r="B36" i="12"/>
  <c r="B35" i="12"/>
  <c r="B34" i="12"/>
  <c r="B33" i="12"/>
  <c r="B32" i="12"/>
  <c r="B31" i="12"/>
  <c r="B30" i="12"/>
  <c r="B29" i="12"/>
  <c r="B28" i="12"/>
  <c r="B27" i="12"/>
  <c r="B26" i="12"/>
  <c r="B25" i="12"/>
  <c r="B24" i="12"/>
  <c r="B23" i="12"/>
  <c r="B22" i="12"/>
  <c r="B21" i="12"/>
  <c r="B18" i="12"/>
  <c r="B17" i="12"/>
  <c r="B16" i="12"/>
  <c r="B15" i="12"/>
  <c r="B14" i="12"/>
  <c r="B13" i="12"/>
  <c r="B12" i="12"/>
  <c r="B11" i="12"/>
  <c r="B10" i="12"/>
  <c r="B9" i="12"/>
  <c r="B8" i="12"/>
  <c r="B7" i="12"/>
  <c r="B6" i="12"/>
  <c r="B5" i="12"/>
  <c r="B4" i="12"/>
  <c r="B3" i="12"/>
  <c r="B2" i="12"/>
  <c r="B104" i="11"/>
  <c r="B103" i="11"/>
  <c r="B102" i="11"/>
  <c r="B101" i="11"/>
  <c r="B100" i="11"/>
  <c r="B99" i="11"/>
  <c r="B98" i="11"/>
  <c r="B97" i="11"/>
  <c r="B96" i="11"/>
  <c r="B95" i="11"/>
  <c r="B94" i="11"/>
  <c r="B93" i="11"/>
  <c r="B92" i="11"/>
  <c r="B91" i="11"/>
  <c r="B90" i="11"/>
  <c r="B89" i="11"/>
  <c r="B88" i="11"/>
  <c r="B87" i="11"/>
  <c r="B84" i="11"/>
  <c r="B83" i="11"/>
  <c r="B82" i="11"/>
  <c r="B81" i="11"/>
  <c r="B80" i="11"/>
  <c r="B79" i="11"/>
  <c r="B78" i="11"/>
  <c r="B77" i="11"/>
  <c r="B76" i="11"/>
  <c r="B73" i="11"/>
  <c r="B72" i="11"/>
  <c r="B71" i="11"/>
  <c r="B70" i="11"/>
  <c r="B69" i="11"/>
  <c r="B68" i="11"/>
  <c r="B67" i="11"/>
  <c r="B66" i="11"/>
  <c r="B65" i="11"/>
  <c r="B64" i="11"/>
  <c r="B63" i="11"/>
  <c r="B62" i="11"/>
  <c r="B61" i="11"/>
  <c r="B60" i="11"/>
  <c r="B59" i="11"/>
  <c r="B58" i="11"/>
  <c r="B57" i="11"/>
  <c r="B54" i="11"/>
  <c r="B53" i="11"/>
  <c r="B52" i="11"/>
  <c r="B51" i="11"/>
  <c r="B50" i="11"/>
  <c r="B49" i="11"/>
  <c r="B48" i="11"/>
  <c r="B47" i="11"/>
  <c r="B46" i="11"/>
  <c r="B45" i="11"/>
  <c r="B44" i="11"/>
  <c r="B43" i="11"/>
  <c r="B42" i="11"/>
  <c r="B41" i="11"/>
  <c r="B38" i="11"/>
  <c r="B37" i="11"/>
  <c r="B36" i="11"/>
  <c r="B35" i="11"/>
  <c r="B34" i="11"/>
  <c r="B33" i="11"/>
  <c r="B32" i="11"/>
  <c r="B31" i="11"/>
  <c r="B30" i="11"/>
  <c r="B29" i="11"/>
  <c r="B28" i="11"/>
  <c r="B27" i="11"/>
  <c r="B26" i="11"/>
  <c r="B25" i="11"/>
  <c r="B24" i="11"/>
  <c r="B23" i="11"/>
  <c r="B22" i="11"/>
  <c r="B19" i="11"/>
  <c r="B18" i="11"/>
  <c r="B17" i="11"/>
  <c r="B16" i="11"/>
  <c r="B15" i="11"/>
  <c r="B14" i="11"/>
  <c r="B13" i="11"/>
  <c r="B12" i="11"/>
  <c r="B11" i="11"/>
  <c r="B10" i="11"/>
  <c r="B9" i="11"/>
  <c r="B8" i="11"/>
  <c r="B7" i="11"/>
  <c r="B6" i="11"/>
  <c r="B5" i="11"/>
  <c r="B4" i="11"/>
  <c r="B3" i="11"/>
  <c r="B2" i="11"/>
  <c r="B109" i="10"/>
  <c r="B108" i="10"/>
  <c r="B107" i="10"/>
  <c r="B106" i="10"/>
  <c r="B105" i="10"/>
  <c r="B104" i="10"/>
  <c r="B103" i="10"/>
  <c r="B102" i="10"/>
  <c r="B101" i="10"/>
  <c r="B100" i="10"/>
  <c r="B99" i="10"/>
  <c r="B98" i="10"/>
  <c r="B97" i="10"/>
  <c r="B96" i="10"/>
  <c r="B95" i="10"/>
  <c r="B94" i="10"/>
  <c r="B93" i="10"/>
  <c r="B92" i="10"/>
  <c r="B89" i="10"/>
  <c r="B88" i="10"/>
  <c r="B87" i="10"/>
  <c r="B86" i="10"/>
  <c r="B85" i="10"/>
  <c r="B84" i="10"/>
  <c r="B83" i="10"/>
  <c r="B82" i="10"/>
  <c r="B81" i="10"/>
  <c r="B80" i="10"/>
  <c r="B79" i="10"/>
  <c r="B78" i="10"/>
  <c r="B77" i="10"/>
  <c r="B74" i="10"/>
  <c r="B73" i="10"/>
  <c r="B72" i="10"/>
  <c r="B71" i="10"/>
  <c r="B70" i="10"/>
  <c r="B69" i="10"/>
  <c r="B68" i="10"/>
  <c r="B67" i="10"/>
  <c r="B66" i="10"/>
  <c r="B65" i="10"/>
  <c r="B64" i="10"/>
  <c r="B63" i="10"/>
  <c r="B62" i="10"/>
  <c r="B61" i="10"/>
  <c r="B60" i="10"/>
  <c r="B59" i="10"/>
  <c r="B58" i="10"/>
  <c r="B57" i="10"/>
  <c r="B54" i="10"/>
  <c r="B53" i="10"/>
  <c r="B52" i="10"/>
  <c r="B51" i="10"/>
  <c r="B50" i="10"/>
  <c r="B49" i="10"/>
  <c r="B48" i="10"/>
  <c r="B47" i="10"/>
  <c r="B46" i="10"/>
  <c r="B45" i="10"/>
  <c r="B44" i="10"/>
  <c r="B43" i="10"/>
  <c r="B42" i="10"/>
  <c r="B39" i="10"/>
  <c r="B38" i="10"/>
  <c r="B37" i="10"/>
  <c r="B36" i="10"/>
  <c r="B35" i="10"/>
  <c r="B34" i="10"/>
  <c r="B33" i="10"/>
  <c r="B32" i="10"/>
  <c r="B31" i="10"/>
  <c r="B30" i="10"/>
  <c r="B29" i="10"/>
  <c r="B28" i="10"/>
  <c r="B27" i="10"/>
  <c r="B26" i="10"/>
  <c r="B25" i="10"/>
  <c r="B24" i="10"/>
  <c r="B23" i="10"/>
  <c r="B22" i="10"/>
  <c r="B19" i="10"/>
  <c r="B18" i="10"/>
  <c r="B17" i="10"/>
  <c r="B16" i="10"/>
  <c r="B15" i="10"/>
  <c r="B14" i="10"/>
  <c r="B13" i="10"/>
  <c r="B12" i="10"/>
  <c r="B11" i="10"/>
  <c r="B10" i="10"/>
  <c r="B9" i="10"/>
  <c r="B8" i="10"/>
  <c r="B7" i="10"/>
  <c r="B6" i="10"/>
  <c r="B5" i="10"/>
  <c r="B4" i="10"/>
  <c r="B3" i="10"/>
  <c r="B2" i="10"/>
  <c r="B110" i="9"/>
  <c r="B109" i="9"/>
  <c r="B108" i="9"/>
  <c r="B107" i="9"/>
  <c r="B106" i="9"/>
  <c r="B105" i="9"/>
  <c r="B104" i="9"/>
  <c r="B103" i="9"/>
  <c r="B102" i="9"/>
  <c r="B101" i="9"/>
  <c r="B100" i="9"/>
  <c r="B99" i="9"/>
  <c r="B98" i="9"/>
  <c r="B97" i="9"/>
  <c r="B96" i="9"/>
  <c r="B95" i="9"/>
  <c r="B94" i="9"/>
  <c r="B93" i="9"/>
  <c r="B90" i="9"/>
  <c r="B89" i="9"/>
  <c r="B88" i="9"/>
  <c r="B87" i="9"/>
  <c r="B86" i="9"/>
  <c r="B85" i="9"/>
  <c r="B84" i="9"/>
  <c r="B83" i="9"/>
  <c r="B82" i="9"/>
  <c r="B81" i="9"/>
  <c r="B80" i="9"/>
  <c r="B79" i="9"/>
  <c r="B78" i="9"/>
  <c r="B75" i="9"/>
  <c r="B74" i="9"/>
  <c r="B73" i="9"/>
  <c r="B72" i="9"/>
  <c r="B71" i="9"/>
  <c r="B70" i="9"/>
  <c r="B69" i="9"/>
  <c r="B68" i="9"/>
  <c r="B67" i="9"/>
  <c r="B66" i="9"/>
  <c r="B65" i="9"/>
  <c r="B64" i="9"/>
  <c r="B63" i="9"/>
  <c r="B62" i="9"/>
  <c r="B61" i="9"/>
  <c r="B60" i="9"/>
  <c r="B59" i="9"/>
  <c r="B56" i="9"/>
  <c r="B55" i="9"/>
  <c r="B54" i="9"/>
  <c r="B53" i="9"/>
  <c r="B52" i="9"/>
  <c r="B51" i="9"/>
  <c r="B50" i="9"/>
  <c r="B49" i="9"/>
  <c r="B48" i="9"/>
  <c r="B47" i="9"/>
  <c r="B46" i="9"/>
  <c r="B45" i="9"/>
  <c r="B44" i="9"/>
  <c r="B43" i="9"/>
  <c r="B42" i="9"/>
  <c r="B39" i="9"/>
  <c r="B38" i="9"/>
  <c r="B37" i="9"/>
  <c r="B36" i="9"/>
  <c r="B35" i="9"/>
  <c r="B34" i="9"/>
  <c r="B33" i="9"/>
  <c r="B32" i="9"/>
  <c r="B31" i="9"/>
  <c r="B30" i="9"/>
  <c r="B29" i="9"/>
  <c r="B28" i="9"/>
  <c r="B27" i="9"/>
  <c r="B26" i="9"/>
  <c r="B25" i="9"/>
  <c r="B24" i="9"/>
  <c r="B23" i="9"/>
  <c r="B22" i="9"/>
  <c r="B19" i="9"/>
  <c r="B18" i="9"/>
  <c r="B17" i="9"/>
  <c r="B16" i="9"/>
  <c r="B15" i="9"/>
  <c r="B14" i="9"/>
  <c r="B13" i="9"/>
  <c r="B12" i="9"/>
  <c r="B11" i="9"/>
  <c r="B10" i="9"/>
  <c r="B9" i="9"/>
  <c r="B8" i="9"/>
  <c r="B7" i="9"/>
  <c r="B6" i="9"/>
  <c r="B5" i="9"/>
  <c r="B4" i="9"/>
  <c r="B3" i="9"/>
  <c r="B2" i="9"/>
  <c r="B107" i="8"/>
  <c r="B106" i="8"/>
  <c r="B105" i="8"/>
  <c r="B104" i="8"/>
  <c r="B103" i="8"/>
  <c r="B102" i="8"/>
  <c r="B101" i="8"/>
  <c r="B100" i="8"/>
  <c r="B99" i="8"/>
  <c r="B98" i="8"/>
  <c r="B97" i="8"/>
  <c r="B96" i="8"/>
  <c r="B95" i="8"/>
  <c r="B94" i="8"/>
  <c r="B93" i="8"/>
  <c r="B92" i="8"/>
  <c r="B91" i="8"/>
  <c r="B90" i="8"/>
  <c r="B87" i="8"/>
  <c r="B86" i="8"/>
  <c r="B85" i="8"/>
  <c r="B84" i="8"/>
  <c r="B83" i="8"/>
  <c r="B82" i="8"/>
  <c r="B81" i="8"/>
  <c r="B80" i="8"/>
  <c r="B79" i="8"/>
  <c r="B78" i="8"/>
  <c r="B77" i="8"/>
  <c r="B76" i="8"/>
  <c r="B75" i="8"/>
  <c r="B74" i="8"/>
  <c r="B71" i="8"/>
  <c r="B70" i="8"/>
  <c r="B69" i="8"/>
  <c r="B68" i="8"/>
  <c r="B67" i="8"/>
  <c r="B66" i="8"/>
  <c r="B65" i="8"/>
  <c r="B64" i="8"/>
  <c r="B63" i="8"/>
  <c r="B62" i="8"/>
  <c r="B61" i="8"/>
  <c r="B60" i="8"/>
  <c r="B59" i="8"/>
  <c r="B58" i="8"/>
  <c r="B57" i="8"/>
  <c r="B56" i="8"/>
  <c r="B53" i="8"/>
  <c r="B52" i="8"/>
  <c r="B51" i="8"/>
  <c r="B50" i="8"/>
  <c r="B49" i="8"/>
  <c r="B48" i="8"/>
  <c r="B47" i="8"/>
  <c r="B46" i="8"/>
  <c r="B45" i="8"/>
  <c r="B44" i="8"/>
  <c r="B43" i="8"/>
  <c r="B42" i="8"/>
  <c r="B41" i="8"/>
  <c r="B38" i="8"/>
  <c r="B37" i="8"/>
  <c r="B36" i="8"/>
  <c r="B35" i="8"/>
  <c r="B34" i="8"/>
  <c r="B33" i="8"/>
  <c r="B32" i="8"/>
  <c r="B31" i="8"/>
  <c r="B30" i="8"/>
  <c r="B29" i="8"/>
  <c r="B28" i="8"/>
  <c r="B27" i="8"/>
  <c r="B26" i="8"/>
  <c r="B25" i="8"/>
  <c r="B24" i="8"/>
  <c r="B23" i="8"/>
  <c r="B22" i="8"/>
  <c r="B19" i="8"/>
  <c r="B18" i="8"/>
  <c r="B17" i="8"/>
  <c r="B16" i="8"/>
  <c r="B15" i="8"/>
  <c r="B14" i="8"/>
  <c r="B13" i="8"/>
  <c r="B12" i="8"/>
  <c r="B11" i="8"/>
  <c r="B10" i="8"/>
  <c r="B9" i="8"/>
  <c r="B8" i="8"/>
  <c r="B7" i="8"/>
  <c r="B6" i="8"/>
  <c r="B5" i="8"/>
  <c r="B4" i="8"/>
  <c r="B3" i="8"/>
  <c r="B2" i="8"/>
  <c r="B104" i="7"/>
  <c r="B103" i="7"/>
  <c r="B102" i="7"/>
  <c r="B101" i="7"/>
  <c r="B100" i="7"/>
  <c r="B99" i="7"/>
  <c r="B98" i="7"/>
  <c r="B97" i="7"/>
  <c r="B96" i="7"/>
  <c r="B95" i="7"/>
  <c r="B94" i="7"/>
  <c r="B93" i="7"/>
  <c r="B92" i="7"/>
  <c r="B91" i="7"/>
  <c r="B90" i="7"/>
  <c r="B89" i="7"/>
  <c r="B88" i="7"/>
  <c r="B85" i="7"/>
  <c r="B84" i="7"/>
  <c r="B83" i="7"/>
  <c r="B82" i="7"/>
  <c r="B81" i="7"/>
  <c r="B80" i="7"/>
  <c r="B79" i="7"/>
  <c r="B78" i="7"/>
  <c r="B77" i="7"/>
  <c r="B76" i="7"/>
  <c r="B75" i="7"/>
  <c r="B72" i="7"/>
  <c r="B71" i="7"/>
  <c r="B70" i="7"/>
  <c r="B69" i="7"/>
  <c r="B68" i="7"/>
  <c r="B67" i="7"/>
  <c r="B66" i="7"/>
  <c r="B65" i="7"/>
  <c r="B64" i="7"/>
  <c r="B63" i="7"/>
  <c r="B62" i="7"/>
  <c r="B61" i="7"/>
  <c r="B60" i="7"/>
  <c r="B59" i="7"/>
  <c r="B58" i="7"/>
  <c r="B57" i="7"/>
  <c r="B56" i="7"/>
  <c r="B53" i="7"/>
  <c r="B52" i="7"/>
  <c r="B51" i="7"/>
  <c r="B50" i="7"/>
  <c r="B49" i="7"/>
  <c r="B48" i="7"/>
  <c r="B47" i="7"/>
  <c r="B46" i="7"/>
  <c r="B45" i="7"/>
  <c r="B44" i="7"/>
  <c r="B43" i="7"/>
  <c r="B42" i="7"/>
  <c r="B41" i="7"/>
  <c r="B40" i="7"/>
  <c r="B39" i="7"/>
  <c r="B38" i="7"/>
  <c r="B37" i="7"/>
  <c r="B34" i="7"/>
  <c r="B33" i="7"/>
  <c r="B32" i="7"/>
  <c r="B31" i="7"/>
  <c r="B30" i="7"/>
  <c r="B29" i="7"/>
  <c r="B28" i="7"/>
  <c r="B27" i="7"/>
  <c r="B26" i="7"/>
  <c r="B25" i="7"/>
  <c r="B24" i="7"/>
  <c r="B23" i="7"/>
  <c r="B22" i="7"/>
  <c r="B19" i="7"/>
  <c r="B18" i="7"/>
  <c r="B17" i="7"/>
  <c r="B16" i="7"/>
  <c r="B15" i="7"/>
  <c r="B14" i="7"/>
  <c r="B13" i="7"/>
  <c r="B12" i="7"/>
  <c r="B11" i="7"/>
  <c r="B10" i="7"/>
  <c r="B9" i="7"/>
  <c r="B8" i="7"/>
  <c r="B7" i="7"/>
  <c r="B6" i="7"/>
  <c r="B5" i="7"/>
  <c r="B4" i="7"/>
  <c r="B3" i="7"/>
  <c r="B2" i="7"/>
  <c r="B97" i="6"/>
  <c r="B96" i="6"/>
  <c r="B95" i="6"/>
  <c r="B94" i="6"/>
  <c r="B93" i="6"/>
  <c r="B92" i="6"/>
  <c r="B91" i="6"/>
  <c r="B90" i="6"/>
  <c r="B89" i="6"/>
  <c r="B88" i="6"/>
  <c r="B87" i="6"/>
  <c r="B86" i="6"/>
  <c r="B85" i="6"/>
  <c r="B84" i="6"/>
  <c r="B83" i="6"/>
  <c r="B82" i="6"/>
  <c r="B79" i="6"/>
  <c r="B78" i="6"/>
  <c r="B77" i="6"/>
  <c r="B76" i="6"/>
  <c r="B75" i="6"/>
  <c r="B74" i="6"/>
  <c r="B73" i="6"/>
  <c r="B72" i="6"/>
  <c r="B71" i="6"/>
  <c r="B70" i="6"/>
  <c r="B69" i="6"/>
  <c r="B68" i="6"/>
  <c r="B67" i="6"/>
  <c r="B64" i="6"/>
  <c r="B63" i="6"/>
  <c r="B62" i="6"/>
  <c r="B61" i="6"/>
  <c r="B60" i="6"/>
  <c r="B59" i="6"/>
  <c r="B58" i="6"/>
  <c r="B57" i="6"/>
  <c r="B56" i="6"/>
  <c r="B55" i="6"/>
  <c r="B54" i="6"/>
  <c r="B53" i="6"/>
  <c r="B52" i="6"/>
  <c r="B51" i="6"/>
  <c r="B48" i="6"/>
  <c r="B47" i="6"/>
  <c r="B46" i="6"/>
  <c r="B45" i="6"/>
  <c r="B44" i="6"/>
  <c r="B43" i="6"/>
  <c r="B42" i="6"/>
  <c r="B41" i="6"/>
  <c r="B40" i="6"/>
  <c r="B39" i="6"/>
  <c r="B38" i="6"/>
  <c r="B37" i="6"/>
  <c r="B36" i="6"/>
  <c r="B35" i="6"/>
  <c r="B32" i="6"/>
  <c r="B31" i="6"/>
  <c r="B30" i="6"/>
  <c r="B29" i="6"/>
  <c r="B28" i="6"/>
  <c r="B27" i="6"/>
  <c r="B26" i="6"/>
  <c r="B25" i="6"/>
  <c r="B24" i="6"/>
  <c r="B23" i="6"/>
  <c r="B22" i="6"/>
  <c r="B19" i="6"/>
  <c r="B18" i="6"/>
  <c r="B17" i="6"/>
  <c r="B16" i="6"/>
  <c r="B15" i="6"/>
  <c r="B14" i="6"/>
  <c r="B13" i="6"/>
  <c r="B12" i="6"/>
  <c r="B11" i="6"/>
  <c r="B10" i="6"/>
  <c r="B9" i="6"/>
  <c r="B8" i="6"/>
  <c r="B7" i="6"/>
  <c r="B6" i="6"/>
  <c r="B5" i="6"/>
  <c r="B4" i="6"/>
  <c r="B3" i="6"/>
  <c r="B2" i="6"/>
  <c r="B105" i="5"/>
  <c r="B104" i="5"/>
  <c r="B103" i="5"/>
  <c r="B102" i="5"/>
  <c r="B101" i="5"/>
  <c r="B100" i="5"/>
  <c r="B99" i="5"/>
  <c r="B98" i="5"/>
  <c r="B97" i="5"/>
  <c r="B96" i="5"/>
  <c r="B95" i="5"/>
  <c r="B94" i="5"/>
  <c r="B93" i="5"/>
  <c r="B92" i="5"/>
  <c r="B89" i="5"/>
  <c r="B88" i="5"/>
  <c r="B87" i="5"/>
  <c r="B86" i="5"/>
  <c r="B85" i="5"/>
  <c r="B84" i="5"/>
  <c r="B83" i="5"/>
  <c r="B82" i="5"/>
  <c r="B81" i="5"/>
  <c r="B80" i="5"/>
  <c r="B79" i="5"/>
  <c r="B78" i="5"/>
  <c r="B77" i="5"/>
  <c r="B76" i="5"/>
  <c r="B75" i="5"/>
  <c r="B74" i="5"/>
  <c r="B71" i="5"/>
  <c r="B70" i="5"/>
  <c r="B69" i="5"/>
  <c r="B68" i="5"/>
  <c r="B67" i="5"/>
  <c r="B66" i="5"/>
  <c r="B65" i="5"/>
  <c r="B64" i="5"/>
  <c r="B63" i="5"/>
  <c r="B62" i="5"/>
  <c r="B61" i="5"/>
  <c r="B60" i="5"/>
  <c r="B59" i="5"/>
  <c r="B58" i="5"/>
  <c r="B57" i="5"/>
  <c r="B56" i="5"/>
  <c r="B55" i="5"/>
  <c r="B52" i="5"/>
  <c r="B51" i="5"/>
  <c r="B50" i="5"/>
  <c r="B49" i="5"/>
  <c r="B48" i="5"/>
  <c r="B47" i="5"/>
  <c r="B46" i="5"/>
  <c r="B45" i="5"/>
  <c r="B44" i="5"/>
  <c r="B43" i="5"/>
  <c r="B42" i="5"/>
  <c r="B41" i="5"/>
  <c r="B40" i="5"/>
  <c r="B39" i="5"/>
  <c r="B36" i="5"/>
  <c r="B35" i="5"/>
  <c r="B34" i="5"/>
  <c r="B33" i="5"/>
  <c r="B32" i="5"/>
  <c r="B31" i="5"/>
  <c r="B30" i="5"/>
  <c r="B29" i="5"/>
  <c r="B28" i="5"/>
  <c r="B27" i="5"/>
  <c r="B26" i="5"/>
  <c r="B25" i="5"/>
  <c r="B24" i="5"/>
  <c r="B23" i="5"/>
  <c r="B22" i="5"/>
  <c r="B19" i="5"/>
  <c r="B18" i="5"/>
  <c r="B17" i="5"/>
  <c r="B16" i="5"/>
  <c r="B15" i="5"/>
  <c r="B14" i="5"/>
  <c r="B13" i="5"/>
  <c r="B12" i="5"/>
  <c r="B11" i="5"/>
  <c r="B10" i="5"/>
  <c r="B9" i="5"/>
  <c r="B8" i="5"/>
  <c r="B7" i="5"/>
  <c r="B6" i="5"/>
  <c r="B5" i="5"/>
  <c r="B4" i="5"/>
  <c r="B3" i="5"/>
  <c r="B2" i="5"/>
  <c r="B103" i="4"/>
  <c r="B102" i="4"/>
  <c r="B101" i="4"/>
  <c r="B100" i="4"/>
  <c r="B99" i="4"/>
  <c r="B98" i="4"/>
  <c r="B97" i="4"/>
  <c r="B96" i="4"/>
  <c r="B95" i="4"/>
  <c r="B94" i="4"/>
  <c r="B93" i="4"/>
  <c r="B92" i="4"/>
  <c r="B91" i="4"/>
  <c r="B90" i="4"/>
  <c r="B89" i="4"/>
  <c r="B88" i="4"/>
  <c r="B84" i="4"/>
  <c r="B83" i="4"/>
  <c r="B82" i="4"/>
  <c r="B81" i="4"/>
  <c r="B80" i="4"/>
  <c r="B79" i="4"/>
  <c r="B78" i="4"/>
  <c r="B77" i="4"/>
  <c r="B76" i="4"/>
  <c r="B75" i="4"/>
  <c r="B74" i="4"/>
  <c r="B73" i="4"/>
  <c r="B72" i="4"/>
  <c r="B71" i="4"/>
  <c r="B68" i="4"/>
  <c r="B67" i="4"/>
  <c r="B66" i="4"/>
  <c r="B65" i="4"/>
  <c r="B64" i="4"/>
  <c r="B63" i="4"/>
  <c r="B62" i="4"/>
  <c r="B61" i="4"/>
  <c r="B60" i="4"/>
  <c r="B59" i="4"/>
  <c r="B58" i="4"/>
  <c r="B57" i="4"/>
  <c r="B56" i="4"/>
  <c r="B55" i="4"/>
  <c r="B52" i="4"/>
  <c r="B51" i="4"/>
  <c r="B50" i="4"/>
  <c r="B49" i="4"/>
  <c r="B48" i="4"/>
  <c r="B47" i="4"/>
  <c r="B46" i="4"/>
  <c r="B45" i="4"/>
  <c r="B44" i="4"/>
  <c r="B43" i="4"/>
  <c r="B42" i="4"/>
  <c r="B41" i="4"/>
  <c r="B37" i="4"/>
  <c r="B36" i="4"/>
  <c r="B35" i="4"/>
  <c r="B34" i="4"/>
  <c r="B33" i="4"/>
  <c r="B32" i="4"/>
  <c r="B31" i="4"/>
  <c r="B30" i="4"/>
  <c r="B29" i="4"/>
  <c r="B28" i="4"/>
  <c r="B27" i="4"/>
  <c r="B26" i="4"/>
  <c r="B25" i="4"/>
  <c r="B24" i="4"/>
  <c r="B23" i="4"/>
  <c r="B22" i="4"/>
  <c r="B19" i="4"/>
  <c r="B18" i="4"/>
  <c r="B17" i="4"/>
  <c r="B16" i="4"/>
  <c r="B15" i="4"/>
  <c r="B14" i="4"/>
  <c r="B13" i="4"/>
  <c r="B12" i="4"/>
  <c r="B11" i="4"/>
  <c r="B10" i="4"/>
  <c r="B9" i="4"/>
  <c r="B8" i="4"/>
  <c r="B7" i="4"/>
  <c r="B6" i="4"/>
  <c r="B5" i="4"/>
  <c r="B4" i="4"/>
  <c r="B3" i="4"/>
  <c r="B2" i="4"/>
  <c r="B97" i="3"/>
  <c r="B96" i="3"/>
  <c r="B95" i="3"/>
  <c r="B94" i="3"/>
  <c r="B93" i="3"/>
  <c r="B92" i="3"/>
  <c r="B91" i="3"/>
  <c r="B90" i="3"/>
  <c r="B89" i="3"/>
  <c r="B88" i="3"/>
  <c r="B87" i="3"/>
  <c r="B86" i="3"/>
  <c r="B85" i="3"/>
  <c r="B84" i="3"/>
  <c r="B83" i="3"/>
  <c r="B80" i="3"/>
  <c r="B79" i="3"/>
  <c r="B78" i="3"/>
  <c r="B77" i="3"/>
  <c r="B76" i="3"/>
  <c r="B75" i="3"/>
  <c r="B74" i="3"/>
  <c r="B73" i="3"/>
  <c r="B72" i="3"/>
  <c r="B71" i="3"/>
  <c r="B70" i="3"/>
  <c r="B69" i="3"/>
  <c r="B66" i="3"/>
  <c r="B65" i="3"/>
  <c r="B64" i="3"/>
  <c r="B63" i="3"/>
  <c r="B62" i="3"/>
  <c r="B61" i="3"/>
  <c r="B60" i="3"/>
  <c r="B59" i="3"/>
  <c r="B58" i="3"/>
  <c r="B57" i="3"/>
  <c r="B56" i="3"/>
  <c r="B55" i="3"/>
  <c r="B52" i="3"/>
  <c r="B51" i="3"/>
  <c r="B50" i="3"/>
  <c r="B49" i="3"/>
  <c r="B48" i="3"/>
  <c r="B47" i="3"/>
  <c r="B46" i="3"/>
  <c r="B45" i="3"/>
  <c r="B44" i="3"/>
  <c r="B43" i="3"/>
  <c r="B42" i="3"/>
  <c r="B41" i="3"/>
  <c r="B40" i="3"/>
  <c r="B39" i="3"/>
  <c r="B36" i="3"/>
  <c r="B35" i="3"/>
  <c r="B34" i="3"/>
  <c r="B33" i="3"/>
  <c r="B32" i="3"/>
  <c r="B31" i="3"/>
  <c r="B30" i="3"/>
  <c r="B29" i="3"/>
  <c r="B28" i="3"/>
  <c r="B27" i="3"/>
  <c r="B26" i="3"/>
  <c r="B25" i="3"/>
  <c r="B24" i="3"/>
  <c r="B23" i="3"/>
  <c r="B22" i="3"/>
  <c r="B19" i="3"/>
  <c r="B18" i="3"/>
  <c r="B17" i="3"/>
  <c r="B16" i="3"/>
  <c r="B15" i="3"/>
  <c r="B14" i="3"/>
  <c r="B13" i="3"/>
  <c r="B12" i="3"/>
  <c r="B11" i="3"/>
  <c r="B10" i="3"/>
  <c r="B9" i="3"/>
  <c r="B8" i="3"/>
  <c r="B7" i="3"/>
  <c r="B6" i="3"/>
  <c r="B5" i="3"/>
  <c r="B4" i="3"/>
  <c r="B3" i="3"/>
  <c r="B2" i="3"/>
  <c r="B103" i="2"/>
  <c r="B102" i="2"/>
  <c r="B101" i="2"/>
  <c r="B100" i="2"/>
  <c r="B99" i="2"/>
  <c r="B98" i="2"/>
  <c r="B97" i="2"/>
  <c r="B96" i="2"/>
  <c r="B95" i="2"/>
  <c r="B94" i="2"/>
  <c r="B93" i="2"/>
  <c r="B92" i="2"/>
  <c r="B91" i="2"/>
  <c r="B90" i="2"/>
  <c r="B87" i="2"/>
  <c r="B86" i="2"/>
  <c r="B85" i="2"/>
  <c r="B84" i="2"/>
  <c r="B83" i="2"/>
  <c r="B82" i="2"/>
  <c r="B81" i="2"/>
  <c r="B80" i="2"/>
  <c r="B79" i="2"/>
  <c r="B78" i="2"/>
  <c r="B77" i="2"/>
  <c r="B76" i="2"/>
  <c r="B75" i="2"/>
  <c r="B74" i="2"/>
  <c r="B71" i="2"/>
  <c r="B70" i="2"/>
  <c r="B69" i="2"/>
  <c r="B68" i="2"/>
  <c r="B67" i="2"/>
  <c r="B66" i="2"/>
  <c r="B65" i="2"/>
  <c r="B64" i="2"/>
  <c r="B63" i="2"/>
  <c r="B62" i="2"/>
  <c r="B61" i="2"/>
  <c r="B60" i="2"/>
  <c r="B59" i="2"/>
  <c r="B58" i="2"/>
  <c r="B57" i="2"/>
  <c r="B53" i="2"/>
  <c r="B52" i="2"/>
  <c r="B51" i="2"/>
  <c r="B50" i="2"/>
  <c r="B49" i="2"/>
  <c r="B48" i="2"/>
  <c r="B47" i="2"/>
  <c r="B46" i="2"/>
  <c r="B45" i="2"/>
  <c r="B44" i="2"/>
  <c r="B43" i="2"/>
  <c r="B42" i="2"/>
  <c r="B41" i="2"/>
  <c r="B40" i="2"/>
  <c r="B39" i="2"/>
  <c r="B36" i="2"/>
  <c r="B35" i="2"/>
  <c r="B34" i="2"/>
  <c r="B33" i="2"/>
  <c r="B32" i="2"/>
  <c r="B31" i="2"/>
  <c r="B30" i="2"/>
  <c r="B29" i="2"/>
  <c r="B28" i="2"/>
  <c r="B27" i="2"/>
  <c r="B26" i="2"/>
  <c r="B25" i="2"/>
  <c r="B24" i="2"/>
  <c r="B23" i="2"/>
  <c r="B22" i="2"/>
  <c r="B21" i="2"/>
  <c r="B18" i="2"/>
  <c r="B17" i="2"/>
  <c r="B16" i="2"/>
  <c r="B15" i="2"/>
  <c r="B14" i="2"/>
  <c r="B13" i="2"/>
  <c r="B12" i="2"/>
  <c r="B11" i="2"/>
  <c r="B10" i="2"/>
  <c r="B9" i="2"/>
  <c r="B8" i="2"/>
  <c r="B7" i="2"/>
  <c r="B6" i="2"/>
  <c r="B5" i="2"/>
  <c r="B4" i="2"/>
  <c r="B3" i="2"/>
  <c r="B2" i="2"/>
  <c r="B106" i="1"/>
  <c r="B105" i="1"/>
  <c r="B104" i="1"/>
  <c r="B103" i="1"/>
  <c r="B102" i="1"/>
  <c r="B101" i="1"/>
  <c r="B100" i="1"/>
  <c r="B99" i="1"/>
  <c r="B98" i="1"/>
  <c r="B97" i="1"/>
  <c r="B96" i="1"/>
  <c r="B95" i="1"/>
  <c r="B94" i="1"/>
  <c r="B93" i="1"/>
  <c r="B92" i="1"/>
  <c r="B91" i="1"/>
  <c r="B90" i="1"/>
  <c r="B87" i="1"/>
  <c r="B86" i="1"/>
  <c r="B85" i="1"/>
  <c r="B84" i="1"/>
  <c r="B83" i="1"/>
  <c r="B82" i="1"/>
  <c r="B81" i="1"/>
  <c r="B80" i="1"/>
  <c r="B79" i="1"/>
  <c r="B78" i="1"/>
  <c r="B75" i="1"/>
  <c r="B74" i="1"/>
  <c r="B73" i="1"/>
  <c r="B72" i="1"/>
  <c r="B71" i="1"/>
  <c r="B70" i="1"/>
  <c r="B69" i="1"/>
  <c r="B68" i="1"/>
  <c r="B67" i="1"/>
  <c r="B66" i="1"/>
  <c r="B65" i="1"/>
  <c r="B64" i="1"/>
  <c r="B63" i="1"/>
  <c r="B62" i="1"/>
  <c r="B61" i="1"/>
  <c r="B60" i="1"/>
  <c r="B57" i="1"/>
  <c r="B56" i="1"/>
  <c r="B55" i="1"/>
  <c r="B54" i="1"/>
  <c r="B53" i="1"/>
  <c r="B52" i="1"/>
  <c r="B51" i="1"/>
  <c r="B50" i="1"/>
  <c r="B49" i="1"/>
  <c r="B48" i="1"/>
  <c r="B47" i="1"/>
  <c r="B46" i="1"/>
  <c r="B45" i="1"/>
  <c r="B44" i="1"/>
  <c r="B43" i="1"/>
  <c r="B42" i="1"/>
  <c r="B41" i="1"/>
  <c r="B38" i="1"/>
  <c r="B37" i="1"/>
  <c r="B36" i="1"/>
  <c r="B35" i="1"/>
  <c r="B34" i="1"/>
  <c r="B33" i="1"/>
  <c r="B32" i="1"/>
  <c r="B31" i="1"/>
  <c r="B30" i="1"/>
  <c r="B29" i="1"/>
  <c r="B28" i="1"/>
  <c r="B27" i="1"/>
  <c r="B26" i="1"/>
  <c r="B25" i="1"/>
  <c r="B24" i="1"/>
  <c r="B23" i="1"/>
  <c r="B22" i="1"/>
  <c r="B19" i="1"/>
  <c r="B18" i="1"/>
  <c r="B17" i="1"/>
  <c r="B16" i="1"/>
  <c r="B15" i="1"/>
  <c r="B14" i="1"/>
  <c r="B13" i="1"/>
  <c r="B12" i="1"/>
  <c r="B11" i="1"/>
  <c r="B10" i="1"/>
  <c r="B9" i="1"/>
  <c r="B8" i="1"/>
  <c r="B7" i="1"/>
  <c r="B6" i="1"/>
  <c r="B5" i="1"/>
  <c r="B4" i="1"/>
  <c r="B3" i="1"/>
  <c r="B2" i="1"/>
  <c r="S76" i="18" l="1"/>
  <c r="S19" i="18"/>
  <c r="S37" i="18"/>
  <c r="S74" i="18"/>
  <c r="S93" i="18"/>
  <c r="S117" i="18"/>
  <c r="S105" i="18"/>
  <c r="S63" i="18"/>
  <c r="S18" i="18"/>
  <c r="S6" i="18"/>
  <c r="S36" i="18"/>
  <c r="S53" i="18"/>
  <c r="S73" i="18"/>
  <c r="S90" i="18"/>
  <c r="S116" i="18"/>
  <c r="S104" i="18"/>
  <c r="S17" i="18"/>
  <c r="S5" i="18"/>
  <c r="S35" i="18"/>
  <c r="S51" i="18"/>
  <c r="S72" i="18"/>
  <c r="S89" i="18"/>
  <c r="S115" i="18"/>
  <c r="S103" i="18"/>
  <c r="S16" i="18"/>
  <c r="S4" i="18"/>
  <c r="S34" i="18"/>
  <c r="S48" i="18"/>
  <c r="S71" i="18"/>
  <c r="S88" i="18"/>
  <c r="S114" i="18"/>
  <c r="S15" i="18"/>
  <c r="S3" i="18"/>
  <c r="S33" i="18"/>
  <c r="S47" i="18"/>
  <c r="S70" i="18"/>
  <c r="S86" i="18"/>
  <c r="S113" i="18"/>
  <c r="S14" i="18"/>
  <c r="S31" i="18"/>
  <c r="S46" i="18"/>
  <c r="S69" i="18"/>
  <c r="S85" i="18"/>
  <c r="S112" i="18"/>
  <c r="S2" i="18"/>
  <c r="S13" i="18"/>
  <c r="S30" i="18"/>
  <c r="S45" i="18"/>
  <c r="S62" i="18"/>
  <c r="S68" i="18"/>
  <c r="S84" i="18"/>
  <c r="S111" i="18"/>
  <c r="S12" i="18"/>
  <c r="S28" i="18"/>
  <c r="S44" i="18"/>
  <c r="S79" i="18"/>
  <c r="S67" i="18"/>
  <c r="S98" i="18"/>
  <c r="S83" i="18"/>
  <c r="S110" i="18"/>
  <c r="S107" i="18"/>
  <c r="S11" i="18"/>
  <c r="S27" i="18"/>
  <c r="S42" i="18"/>
  <c r="S43" i="18"/>
  <c r="S78" i="18"/>
  <c r="S66" i="18"/>
  <c r="S97" i="18"/>
  <c r="S109" i="18"/>
  <c r="S77" i="18"/>
  <c r="S102" i="18"/>
  <c r="T37" i="18"/>
  <c r="T12" i="18"/>
  <c r="T32" i="18"/>
  <c r="T47" i="18"/>
  <c r="T71" i="18"/>
  <c r="T89" i="18"/>
  <c r="T102" i="18"/>
  <c r="T108" i="18"/>
  <c r="T11" i="18"/>
  <c r="T31" i="18"/>
  <c r="T46" i="18"/>
  <c r="T70" i="18"/>
  <c r="T88" i="18"/>
  <c r="T119" i="18"/>
  <c r="T107" i="18"/>
  <c r="T64" i="18"/>
  <c r="T10" i="18"/>
  <c r="T30" i="18"/>
  <c r="T59" i="18"/>
  <c r="T45" i="18"/>
  <c r="T69" i="18"/>
  <c r="T87" i="18"/>
  <c r="T118" i="18"/>
  <c r="T106" i="18"/>
  <c r="T9" i="18"/>
  <c r="T28" i="18"/>
  <c r="T58" i="18"/>
  <c r="T44" i="18"/>
  <c r="T68" i="18"/>
  <c r="T82" i="18"/>
  <c r="T86" i="18"/>
  <c r="T117" i="18"/>
  <c r="T105" i="18"/>
  <c r="T2" i="18"/>
  <c r="T8" i="18"/>
  <c r="T27" i="18"/>
  <c r="T56" i="18"/>
  <c r="T43" i="18"/>
  <c r="T67" i="18"/>
  <c r="T97" i="18"/>
  <c r="T85" i="18"/>
  <c r="T116" i="18"/>
  <c r="T104" i="18"/>
  <c r="T19" i="18"/>
  <c r="T7" i="18"/>
  <c r="T62" i="18"/>
  <c r="T66" i="18"/>
  <c r="T96" i="18"/>
  <c r="T84" i="18"/>
  <c r="T115" i="18"/>
  <c r="T103" i="18"/>
  <c r="T16" i="18"/>
  <c r="T4" i="18"/>
  <c r="T36" i="18"/>
  <c r="T51" i="18"/>
  <c r="T77" i="18"/>
  <c r="T63" i="18"/>
  <c r="T93" i="18"/>
  <c r="T112" i="18"/>
  <c r="T18" i="18"/>
  <c r="T15" i="18"/>
  <c r="T3" i="18"/>
  <c r="T35" i="18"/>
  <c r="T50" i="18"/>
  <c r="T75" i="18"/>
  <c r="T92" i="18"/>
  <c r="T111" i="18"/>
  <c r="T6" i="18"/>
  <c r="T17" i="18"/>
  <c r="T14" i="18"/>
  <c r="T34" i="18"/>
  <c r="T49" i="18"/>
  <c r="T74" i="18"/>
  <c r="T91" i="18"/>
  <c r="T110" i="18"/>
  <c r="T5" i="18"/>
</calcChain>
</file>

<file path=xl/sharedStrings.xml><?xml version="1.0" encoding="utf-8"?>
<sst xmlns="http://schemas.openxmlformats.org/spreadsheetml/2006/main" count="7326" uniqueCount="4038">
  <si>
    <t>Main ISM Data</t>
  </si>
  <si>
    <t>Arts, Entertainment &amp; Recreation</t>
  </si>
  <si>
    <t xml:space="preserve"> Health Care &amp; Social Assistance</t>
  </si>
  <si>
    <t xml:space="preserve"> Utilities</t>
  </si>
  <si>
    <t xml:space="preserve"> Accommodation &amp; Food Services</t>
  </si>
  <si>
    <t xml:space="preserve"> Transportation &amp; Warehousing</t>
  </si>
  <si>
    <t xml:space="preserve"> Wholesale Trade</t>
  </si>
  <si>
    <t xml:space="preserve"> Construction</t>
  </si>
  <si>
    <t xml:space="preserve"> Retail Trade</t>
  </si>
  <si>
    <t xml:space="preserve"> Management of Companies &amp; Support Services</t>
  </si>
  <si>
    <t xml:space="preserve"> Public Administration</t>
  </si>
  <si>
    <t xml:space="preserve"> Finance &amp; Insurance</t>
  </si>
  <si>
    <t xml:space="preserve"> Educational Services</t>
  </si>
  <si>
    <t xml:space="preserve"> Agriculture, Forestry, Fishing &amp; Hunting</t>
  </si>
  <si>
    <t xml:space="preserve"> Real Estate, Rental &amp; Leasing</t>
  </si>
  <si>
    <t>Professional, Scientific &amp; Technical Services</t>
  </si>
  <si>
    <t>Mining</t>
  </si>
  <si>
    <t xml:space="preserve"> Information</t>
  </si>
  <si>
    <t>Other Services</t>
  </si>
  <si>
    <t>New orders</t>
  </si>
  <si>
    <t>Construction</t>
  </si>
  <si>
    <t>Employment</t>
  </si>
  <si>
    <t xml:space="preserve"> Other Services</t>
  </si>
  <si>
    <t>Finance &amp; Insurance</t>
  </si>
  <si>
    <t>Deliveries</t>
  </si>
  <si>
    <t>Retail Trade</t>
  </si>
  <si>
    <t>Inventory</t>
  </si>
  <si>
    <t>Educational Services</t>
  </si>
  <si>
    <t>Information</t>
  </si>
  <si>
    <t>Real Estate, Rental &amp; Leasing</t>
  </si>
  <si>
    <t>Prices</t>
  </si>
  <si>
    <t>Accommodation &amp; Food Services</t>
  </si>
  <si>
    <t xml:space="preserve"> Professional, Scientific &amp; Technical Services</t>
  </si>
  <si>
    <t xml:space="preserve"> Mining</t>
  </si>
  <si>
    <t>Public Administration</t>
  </si>
  <si>
    <t>Agriculture, Forestry, Fishing &amp; Hunting</t>
  </si>
  <si>
    <t>Wholesale Trade</t>
  </si>
  <si>
    <t>information</t>
  </si>
  <si>
    <t>Transportation &amp; Warehousing</t>
  </si>
  <si>
    <t xml:space="preserve"> Professional,Scientific &amp; Technical Services</t>
  </si>
  <si>
    <t>Utilities</t>
  </si>
  <si>
    <t>Management of Companies &amp; Support Services</t>
  </si>
  <si>
    <t xml:space="preserve"> Arts, Entertainment &amp; Recreation</t>
  </si>
  <si>
    <t>Health Care &amp; Social Assistance</t>
  </si>
  <si>
    <t xml:space="preserve">Professional, Scientific &amp; Technical Services </t>
  </si>
  <si>
    <t xml:space="preserve">Wholesale Trade </t>
  </si>
  <si>
    <t> Finance &amp; Insurance</t>
  </si>
  <si>
    <t xml:space="preserve">Information </t>
  </si>
  <si>
    <t xml:space="preserve">Health Care &amp; Social Assistance </t>
  </si>
  <si>
    <t> Arts, Entertainment &amp; Recreation</t>
  </si>
  <si>
    <t xml:space="preserve">Construction </t>
  </si>
  <si>
    <t xml:space="preserve">Finance &amp; Insurance </t>
  </si>
  <si>
    <t>Accommodation &amp; Food Services;</t>
  </si>
  <si>
    <t>Main Services PMI</t>
  </si>
  <si>
    <t>August 2020</t>
  </si>
  <si>
    <t>September 2020</t>
  </si>
  <si>
    <t>October 2020</t>
  </si>
  <si>
    <t>November 2020</t>
  </si>
  <si>
    <t>December 2020</t>
  </si>
  <si>
    <t>MAIN NMI</t>
  </si>
  <si>
    <t>STAGE - 1 Sector-trade ideas June NMI Report</t>
  </si>
  <si>
    <t>Date:</t>
  </si>
  <si>
    <t>Rating</t>
  </si>
  <si>
    <t>Long</t>
  </si>
  <si>
    <t>Short/Hedge</t>
  </si>
  <si>
    <t xml:space="preserve">Transportation and Warehousing </t>
  </si>
  <si>
    <t>Whosale Trade</t>
  </si>
  <si>
    <t>Arts Entertaintment and recreation</t>
  </si>
  <si>
    <t>Art Entertaintment…</t>
  </si>
  <si>
    <t>Managament of Companies</t>
  </si>
  <si>
    <t>Accomodation and Food Services</t>
  </si>
  <si>
    <t>Accomodation and Food services</t>
  </si>
  <si>
    <t>Real Estate Rental and Leasing</t>
  </si>
  <si>
    <t>STAGE - 2 Long positions</t>
  </si>
  <si>
    <t>Deals</t>
  </si>
  <si>
    <t>Watchlist</t>
  </si>
  <si>
    <t>US Food Holdings - USFD</t>
  </si>
  <si>
    <t>XPO Logistics</t>
  </si>
  <si>
    <t>The Chef Warehouse - CHEF</t>
  </si>
  <si>
    <t>Ryder Systems</t>
  </si>
  <si>
    <t>vat</t>
  </si>
  <si>
    <t>Zoom Video Comunications - ZM</t>
  </si>
  <si>
    <t>SO</t>
  </si>
  <si>
    <t>Spire Inc</t>
  </si>
  <si>
    <t>T-Mobile - TMUS</t>
  </si>
  <si>
    <t>NEP</t>
  </si>
  <si>
    <t>Walt Disney - DIS</t>
  </si>
  <si>
    <t>BEP</t>
  </si>
  <si>
    <t>PEG</t>
  </si>
  <si>
    <t>Art And Entertaintment</t>
  </si>
  <si>
    <t>NEE</t>
  </si>
  <si>
    <t>MGM</t>
  </si>
  <si>
    <t>Boyd Gaming Corp. - BYD</t>
  </si>
  <si>
    <t>Fox Corporation - FOX</t>
  </si>
  <si>
    <t>Accomodation and food services</t>
  </si>
  <si>
    <t>McDonalds - MCD</t>
  </si>
  <si>
    <t>Fat Brands - FAT</t>
  </si>
  <si>
    <t>Potbelly Corporation - PBPB</t>
  </si>
  <si>
    <t>Blgari Holdings - BH</t>
  </si>
  <si>
    <t>Chuy Holdings - Chuy</t>
  </si>
  <si>
    <t>Dennys Corporation - DENN</t>
  </si>
  <si>
    <t>CAKE</t>
  </si>
  <si>
    <t>Shake Shak - SHAK</t>
  </si>
  <si>
    <t>Weyerhouser Company - WY</t>
  </si>
  <si>
    <t>Vici Properties - VICI</t>
  </si>
  <si>
    <t>HASI</t>
  </si>
  <si>
    <t>Park Hotels and Resorts - PK</t>
  </si>
  <si>
    <t>STAGE - 3 Short/Hedge</t>
  </si>
  <si>
    <t>Oil and Coal Products</t>
  </si>
  <si>
    <t>Retail trade consists of selling merchandise in the state that it is purchased (or after minor transformations), generally to a customer base of private individuals, regardless of the quantities sold. An industry that sells primarily to individuals, not corporations. Usually, retail refers to retail outlets, where customers shop. With the Internet boom, many retail stores also sell products on their Web sites. Retail trade is conducted in grocery, department, specialty, and apparel stores, among other venues.</t>
  </si>
  <si>
    <t>Amazon.com, Inc.</t>
  </si>
  <si>
    <t>1.652T</t>
  </si>
  <si>
    <t>BABAF</t>
  </si>
  <si>
    <t>Alibaba Group Holding Limited</t>
  </si>
  <si>
    <t>699.715B</t>
  </si>
  <si>
    <t>Sector Beta</t>
  </si>
  <si>
    <t>HD</t>
  </si>
  <si>
    <t>The Home Depot, Inc.</t>
  </si>
  <si>
    <t>305.754B</t>
  </si>
  <si>
    <t>MPNGY</t>
  </si>
  <si>
    <t>Meituan</t>
  </si>
  <si>
    <t>288.578B</t>
  </si>
  <si>
    <t>PDD</t>
  </si>
  <si>
    <t>Pinduoduo Inc.</t>
  </si>
  <si>
    <t>210.794B</t>
  </si>
  <si>
    <t>JDCMF</t>
  </si>
  <si>
    <t>JD.com, Inc.</t>
  </si>
  <si>
    <t>146.525B</t>
  </si>
  <si>
    <t>LOW</t>
  </si>
  <si>
    <t>Lowe's Companies, Inc.</t>
  </si>
  <si>
    <t>126.321B</t>
  </si>
  <si>
    <t>MELI</t>
  </si>
  <si>
    <t>MercadoLibre, Inc.</t>
  </si>
  <si>
    <t>97.996B</t>
  </si>
  <si>
    <t>IDEXY</t>
  </si>
  <si>
    <t>Industria de Diseño Textil, S.A.</t>
  </si>
  <si>
    <t>96.96B</t>
  </si>
  <si>
    <t>FRCOY</t>
  </si>
  <si>
    <t>Fast Retailing Co., Ltd.</t>
  </si>
  <si>
    <t>90.556B</t>
  </si>
  <si>
    <t>TJX</t>
  </si>
  <si>
    <t>The TJX Companies, Inc.</t>
  </si>
  <si>
    <t>80.334B</t>
  </si>
  <si>
    <t>ALBHF</t>
  </si>
  <si>
    <t>Alibaba Health Information Technology Limited</t>
  </si>
  <si>
    <t>48.243B</t>
  </si>
  <si>
    <t>WFAFY</t>
  </si>
  <si>
    <t>Wesfarmers Limited</t>
  </si>
  <si>
    <t>46.984B</t>
  </si>
  <si>
    <t>CVNA</t>
  </si>
  <si>
    <t>Carvana Co.</t>
  </si>
  <si>
    <t>46.976B</t>
  </si>
  <si>
    <t>LULU</t>
  </si>
  <si>
    <t>Lululemon Athletica Inc.</t>
  </si>
  <si>
    <t>45.145B</t>
  </si>
  <si>
    <t>CHWY</t>
  </si>
  <si>
    <t>Chewy, Inc.</t>
  </si>
  <si>
    <t>43.361B</t>
  </si>
  <si>
    <t>WBA</t>
  </si>
  <si>
    <t>Walgreens Boots Alliance, Inc.</t>
  </si>
  <si>
    <t>40.999B</t>
  </si>
  <si>
    <t>ROST</t>
  </si>
  <si>
    <t>Ross Stores, Inc.</t>
  </si>
  <si>
    <t>40.398B</t>
  </si>
  <si>
    <t>EBAY</t>
  </si>
  <si>
    <t>eBay Inc.</t>
  </si>
  <si>
    <t>38.92B</t>
  </si>
  <si>
    <t>DLVHF</t>
  </si>
  <si>
    <t>Delivery Hero SE</t>
  </si>
  <si>
    <t>34.85B</t>
  </si>
  <si>
    <t>ORLY</t>
  </si>
  <si>
    <t>O'Reilly Automotive, Inc.</t>
  </si>
  <si>
    <t>33.131B</t>
  </si>
  <si>
    <t>YAHOY</t>
  </si>
  <si>
    <t>Z Holdings Corporation</t>
  </si>
  <si>
    <t>32.202B</t>
  </si>
  <si>
    <t>W</t>
  </si>
  <si>
    <t>Wayfair Inc.</t>
  </si>
  <si>
    <t>30.875B</t>
  </si>
  <si>
    <t>ZLNDY</t>
  </si>
  <si>
    <t>Zalando SE</t>
  </si>
  <si>
    <t>29.79B</t>
  </si>
  <si>
    <t>BBY</t>
  </si>
  <si>
    <t>Best Buy Co., Inc.</t>
  </si>
  <si>
    <t>29.761B</t>
  </si>
  <si>
    <t>AZO</t>
  </si>
  <si>
    <t>AutoZone, Inc.</t>
  </si>
  <si>
    <t>27.929B</t>
  </si>
  <si>
    <t>ETSY</t>
  </si>
  <si>
    <t>Etsy, Inc.</t>
  </si>
  <si>
    <t>26.932B</t>
  </si>
  <si>
    <t>NCLTY</t>
  </si>
  <si>
    <t>Nitori Holdings Co., Ltd.</t>
  </si>
  <si>
    <t>23.891B</t>
  </si>
  <si>
    <t>FTCH</t>
  </si>
  <si>
    <t>Farfetch Limited</t>
  </si>
  <si>
    <t>21.412B</t>
  </si>
  <si>
    <t>VIPS</t>
  </si>
  <si>
    <t>Vipshop Holdings Limited</t>
  </si>
  <si>
    <t>19.92B</t>
  </si>
  <si>
    <t>TSCO</t>
  </si>
  <si>
    <t>Tractor Supply Company</t>
  </si>
  <si>
    <t>18.129B</t>
  </si>
  <si>
    <t>TKAYY</t>
  </si>
  <si>
    <t>Just Eat Takeaway.com N.V.</t>
  </si>
  <si>
    <t>17.352B</t>
  </si>
  <si>
    <t>ULTA</t>
  </si>
  <si>
    <t>Ulta Beauty, Inc.</t>
  </si>
  <si>
    <t>16.897B</t>
  </si>
  <si>
    <t>WISH</t>
  </si>
  <si>
    <t>ContextLogic Inc.</t>
  </si>
  <si>
    <t>16.83B</t>
  </si>
  <si>
    <t>BURL</t>
  </si>
  <si>
    <t>Burlington Stores, Inc.</t>
  </si>
  <si>
    <t>16.709B</t>
  </si>
  <si>
    <t>NXGPY</t>
  </si>
  <si>
    <t>NEXT plc</t>
  </si>
  <si>
    <t>14.443B</t>
  </si>
  <si>
    <t>GPC</t>
  </si>
  <si>
    <t>Genuine Parts Company</t>
  </si>
  <si>
    <t>14.666B</t>
  </si>
  <si>
    <t>YSG</t>
  </si>
  <si>
    <t>Yatsen Holding Limited</t>
  </si>
  <si>
    <t>12.897B</t>
  </si>
  <si>
    <t>RKUNY</t>
  </si>
  <si>
    <t>Rakuten, Inc.</t>
  </si>
  <si>
    <t>12.826B</t>
  </si>
  <si>
    <t>LB</t>
  </si>
  <si>
    <t>L Brands, Inc.</t>
  </si>
  <si>
    <t>12.593B</t>
  </si>
  <si>
    <t>AAP</t>
  </si>
  <si>
    <t>Advance Auto Parts, Inc.</t>
  </si>
  <si>
    <t>11.112B</t>
  </si>
  <si>
    <t>JDSPY</t>
  </si>
  <si>
    <t>JD Sports Fashion plc</t>
  </si>
  <si>
    <t>11.075B</t>
  </si>
  <si>
    <t>OZON</t>
  </si>
  <si>
    <t>Ozon Holdings PLC</t>
  </si>
  <si>
    <t>9.533B</t>
  </si>
  <si>
    <t>FIVE</t>
  </si>
  <si>
    <t>Five Below, Inc.</t>
  </si>
  <si>
    <t>10.597B</t>
  </si>
  <si>
    <t>FND</t>
  </si>
  <si>
    <t>Floor &amp; Decor Holdings, Inc.</t>
  </si>
  <si>
    <t>10.546B</t>
  </si>
  <si>
    <t>DADA</t>
  </si>
  <si>
    <t>Dada Nexus Limited</t>
  </si>
  <si>
    <t>10.501B</t>
  </si>
  <si>
    <t>RH</t>
  </si>
  <si>
    <t>10.242B</t>
  </si>
  <si>
    <t>SFIX</t>
  </si>
  <si>
    <t>Stitch Fix, Inc.</t>
  </si>
  <si>
    <t>10.163B</t>
  </si>
  <si>
    <t>WSM</t>
  </si>
  <si>
    <t>Williams-Sonoma, Inc.</t>
  </si>
  <si>
    <t>10.134B</t>
  </si>
  <si>
    <t>WOLWF</t>
  </si>
  <si>
    <t>Woolworths Group Limited</t>
  </si>
  <si>
    <t>39.944B</t>
  </si>
  <si>
    <t>SVNDY</t>
  </si>
  <si>
    <t>Seven &amp; i Holdings Co., Ltd.</t>
  </si>
  <si>
    <t>33.685B</t>
  </si>
  <si>
    <t>ANCTF</t>
  </si>
  <si>
    <t>Alimentation Couche-Tard Inc.</t>
  </si>
  <si>
    <t>33.527B</t>
  </si>
  <si>
    <t>TSCDY</t>
  </si>
  <si>
    <t>Tesco PLC</t>
  </si>
  <si>
    <t>32.52B</t>
  </si>
  <si>
    <t>AHODF</t>
  </si>
  <si>
    <t>Koninklijke Ahold Delhaize N.V.</t>
  </si>
  <si>
    <t>30.055B</t>
  </si>
  <si>
    <t>OCDGF</t>
  </si>
  <si>
    <t>Ocado Group plc</t>
  </si>
  <si>
    <t>27.648B</t>
  </si>
  <si>
    <t>KR</t>
  </si>
  <si>
    <t>The Kroger Co.</t>
  </si>
  <si>
    <t>25.551B</t>
  </si>
  <si>
    <t>LBLCF</t>
  </si>
  <si>
    <t>Loblaw Companies Limited</t>
  </si>
  <si>
    <t>17.671B</t>
  </si>
  <si>
    <t>CVPBF</t>
  </si>
  <si>
    <t>CP ALL Public Company Limited</t>
  </si>
  <si>
    <t>17.326B</t>
  </si>
  <si>
    <t>CRERF</t>
  </si>
  <si>
    <t>Carrefour SA</t>
  </si>
  <si>
    <t>14.466B</t>
  </si>
  <si>
    <t>WNGRF</t>
  </si>
  <si>
    <t>George Weston Limited</t>
  </si>
  <si>
    <t>11.33B</t>
  </si>
  <si>
    <t>MTRAF</t>
  </si>
  <si>
    <t>Metro Inc.</t>
  </si>
  <si>
    <t>11.286B</t>
  </si>
  <si>
    <t>KKOYY</t>
  </si>
  <si>
    <t>Kesko Oyj</t>
  </si>
  <si>
    <t>10.339B</t>
  </si>
  <si>
    <t>The Transportation and Warehousing</t>
  </si>
  <si>
    <t>The Transportation and Warehousing sector includes industries providing transportation of passengers and cargo, warehousing and storage for goods, scenic and sightseeing transportation, and support activities related to modes of transportation.</t>
  </si>
  <si>
    <t>UNP</t>
  </si>
  <si>
    <t>Union Pacific Corporation</t>
  </si>
  <si>
    <t>139.578B</t>
  </si>
  <si>
    <t>CNI</t>
  </si>
  <si>
    <t>Canadian National Railway Company</t>
  </si>
  <si>
    <t>76.357B</t>
  </si>
  <si>
    <t>CSX</t>
  </si>
  <si>
    <t>CSX Corporation</t>
  </si>
  <si>
    <t>67.025B</t>
  </si>
  <si>
    <t>NSC</t>
  </si>
  <si>
    <t>Norfolk Southern Corporation</t>
  </si>
  <si>
    <t>62.028B</t>
  </si>
  <si>
    <t>AMKBY</t>
  </si>
  <si>
    <t>A.P. Møller - Mærsk A/S</t>
  </si>
  <si>
    <t>55.838B</t>
  </si>
  <si>
    <t>CP</t>
  </si>
  <si>
    <t>Canadian Pacific Railway Limited</t>
  </si>
  <si>
    <t>45.903B</t>
  </si>
  <si>
    <t>SYY</t>
  </si>
  <si>
    <t>Sysco Corporation</t>
  </si>
  <si>
    <t>38.299B</t>
  </si>
  <si>
    <t>MTRJF</t>
  </si>
  <si>
    <t>MTR Corporation Limited</t>
  </si>
  <si>
    <t>34.76B</t>
  </si>
  <si>
    <t>APTPF</t>
  </si>
  <si>
    <t>Airports of Thailand Public Company Limited</t>
  </si>
  <si>
    <t>28.49B</t>
  </si>
  <si>
    <t>LUV</t>
  </si>
  <si>
    <t>Southwest Airlines Co.</t>
  </si>
  <si>
    <t>27.983B</t>
  </si>
  <si>
    <t>CJPRY</t>
  </si>
  <si>
    <t>Central Japan Railway Company</t>
  </si>
  <si>
    <t>27.739B</t>
  </si>
  <si>
    <t>CICOY</t>
  </si>
  <si>
    <t>COSCO SHIPPING Holdings Co., Ltd.</t>
  </si>
  <si>
    <t>26.524B</t>
  </si>
  <si>
    <t>DAL</t>
  </si>
  <si>
    <t>Delta Air Lines, Inc.</t>
  </si>
  <si>
    <t>25.509B</t>
  </si>
  <si>
    <t>EJPRY</t>
  </si>
  <si>
    <t>East Japan Railway Company</t>
  </si>
  <si>
    <t>24.633B</t>
  </si>
  <si>
    <t>ODFL</t>
  </si>
  <si>
    <t>Old Dominion Freight Line, Inc.</t>
  </si>
  <si>
    <t>24.007B</t>
  </si>
  <si>
    <t>ANNSF</t>
  </si>
  <si>
    <t>Aena S.M.E., S.A.</t>
  </si>
  <si>
    <t>23.847B</t>
  </si>
  <si>
    <t>HPGLY</t>
  </si>
  <si>
    <t>Hapag-Lloyd Aktiengesellschaft</t>
  </si>
  <si>
    <t>22.791B</t>
  </si>
  <si>
    <t>RYAAY</t>
  </si>
  <si>
    <t>Ryanair Holdings plc</t>
  </si>
  <si>
    <t>20.387B</t>
  </si>
  <si>
    <t>KSU</t>
  </si>
  <si>
    <t>Kansas City Southern</t>
  </si>
  <si>
    <t>20.366B</t>
  </si>
  <si>
    <t>WAB</t>
  </si>
  <si>
    <t>Wabtec Corporation</t>
  </si>
  <si>
    <t>15.316B</t>
  </si>
  <si>
    <t>AICAF</t>
  </si>
  <si>
    <t>Air China Limited</t>
  </si>
  <si>
    <t>13.915B</t>
  </si>
  <si>
    <t>UAL</t>
  </si>
  <si>
    <t>United Airlines Holdings, Inc.</t>
  </si>
  <si>
    <t>13.141B</t>
  </si>
  <si>
    <t>CHKIF</t>
  </si>
  <si>
    <t>China Southern Airlines Company Limited</t>
  </si>
  <si>
    <t>11.877B</t>
  </si>
  <si>
    <t>AEOXF</t>
  </si>
  <si>
    <t>Aeroports de Paris SA</t>
  </si>
  <si>
    <t>11.319B</t>
  </si>
  <si>
    <t>BZLFY</t>
  </si>
  <si>
    <t>Bunzl plc</t>
  </si>
  <si>
    <t>11.139B</t>
  </si>
  <si>
    <t>JRONY</t>
  </si>
  <si>
    <t>Jerónimo Martins, SGPS, S.A.</t>
  </si>
  <si>
    <t>11.008B</t>
  </si>
  <si>
    <t>BABWF</t>
  </si>
  <si>
    <t>International Consolidated Airlines Group, S.A.</t>
  </si>
  <si>
    <t>10.335B</t>
  </si>
  <si>
    <t>European</t>
  </si>
  <si>
    <t>IAG.L</t>
  </si>
  <si>
    <t>7.645B</t>
  </si>
  <si>
    <t>WIZZ.L</t>
  </si>
  <si>
    <t>Wizz Air Holdings Plc</t>
  </si>
  <si>
    <t>4.875B</t>
  </si>
  <si>
    <t>EZJ.L</t>
  </si>
  <si>
    <t>easyJet plc</t>
  </si>
  <si>
    <t>3.601B</t>
  </si>
  <si>
    <t>SIG.L</t>
  </si>
  <si>
    <t>Signature Aviation plc</t>
  </si>
  <si>
    <t>3.394B</t>
  </si>
  <si>
    <t>MAERSK-A.CO</t>
  </si>
  <si>
    <t>248.162B</t>
  </si>
  <si>
    <t>NEX.L</t>
  </si>
  <si>
    <t>National Express Group PLC</t>
  </si>
  <si>
    <t>1.842B</t>
  </si>
  <si>
    <t>UNPC.VI</t>
  </si>
  <si>
    <t>113.591B</t>
  </si>
  <si>
    <t>FGP.L</t>
  </si>
  <si>
    <t>FirstGroup plc</t>
  </si>
  <si>
    <t>987.829M</t>
  </si>
  <si>
    <t>CKN.L</t>
  </si>
  <si>
    <t>Clarkson PLC</t>
  </si>
  <si>
    <t>810.253M</t>
  </si>
  <si>
    <t>ICGC.L</t>
  </si>
  <si>
    <t>Irish Continental Group plc</t>
  </si>
  <si>
    <t>642.624M</t>
  </si>
  <si>
    <t>CY2.F</t>
  </si>
  <si>
    <t>62.847B</t>
  </si>
  <si>
    <t>NFS.DE</t>
  </si>
  <si>
    <t>51.521B</t>
  </si>
  <si>
    <t>GOG.L</t>
  </si>
  <si>
    <t>The Go-Ahead Group plc</t>
  </si>
  <si>
    <t>480.133M</t>
  </si>
  <si>
    <t>SGC.L</t>
  </si>
  <si>
    <t>Stagecoach Group plc</t>
  </si>
  <si>
    <t>440.428M</t>
  </si>
  <si>
    <t>KBHL.CO</t>
  </si>
  <si>
    <t>Københavns Lufthavne A/S</t>
  </si>
  <si>
    <t>43.164B</t>
  </si>
  <si>
    <t>PC8.F</t>
  </si>
  <si>
    <t>38.965B</t>
  </si>
  <si>
    <t>OCN.L</t>
  </si>
  <si>
    <t>Ocean Wilsons Holdings Limited</t>
  </si>
  <si>
    <t>295.281M</t>
  </si>
  <si>
    <t>MRI.F</t>
  </si>
  <si>
    <t>28.964B</t>
  </si>
  <si>
    <t>JAP.F</t>
  </si>
  <si>
    <t>25.934B</t>
  </si>
  <si>
    <t>TX3A.F</t>
  </si>
  <si>
    <t>23.801B</t>
  </si>
  <si>
    <t>EJR.F</t>
  </si>
  <si>
    <t>22.883B</t>
  </si>
  <si>
    <t>C2L.F</t>
  </si>
  <si>
    <t>CRRC Corporation Limited</t>
  </si>
  <si>
    <t>20.631B</t>
  </si>
  <si>
    <t>ODF.F</t>
  </si>
  <si>
    <t>20.435B</t>
  </si>
  <si>
    <t>A44.F</t>
  </si>
  <si>
    <t>20.563B</t>
  </si>
  <si>
    <t>MNZS.L</t>
  </si>
  <si>
    <t>John Menzies plc</t>
  </si>
  <si>
    <t>190.532M</t>
  </si>
  <si>
    <t>HLAG.DE</t>
  </si>
  <si>
    <t>18.068B</t>
  </si>
  <si>
    <t>RY4D.F</t>
  </si>
  <si>
    <t>17.47B</t>
  </si>
  <si>
    <t>THYAO.IS</t>
  </si>
  <si>
    <t>Türk Hava Yollari Anonim Ortakligi</t>
  </si>
  <si>
    <t>16.795B</t>
  </si>
  <si>
    <t>RY4C.F</t>
  </si>
  <si>
    <t>17.011B</t>
  </si>
  <si>
    <t>DFDS.CO</t>
  </si>
  <si>
    <t>DFDS A/S</t>
  </si>
  <si>
    <t>16.168B</t>
  </si>
  <si>
    <t>KCY.F</t>
  </si>
  <si>
    <t>15.262B</t>
  </si>
  <si>
    <t>AD2B.F</t>
  </si>
  <si>
    <t>13.123B</t>
  </si>
  <si>
    <t>SASNO.OL</t>
  </si>
  <si>
    <t>SAS AB (publ)</t>
  </si>
  <si>
    <t>12.289B</t>
  </si>
  <si>
    <t>ZNH.F</t>
  </si>
  <si>
    <t>11.798B</t>
  </si>
  <si>
    <t>UAL1.F</t>
  </si>
  <si>
    <t>11.29B</t>
  </si>
  <si>
    <t>ADP.PA</t>
  </si>
  <si>
    <t>10.191B</t>
  </si>
  <si>
    <t>WEJ.F</t>
  </si>
  <si>
    <t>West Japan Railway Company</t>
  </si>
  <si>
    <t>9.729B</t>
  </si>
  <si>
    <t>V8H.F</t>
  </si>
  <si>
    <t>Odakyu Electric Railway Co., Ltd.</t>
  </si>
  <si>
    <t>9.408B</t>
  </si>
  <si>
    <t>CIA.F</t>
  </si>
  <si>
    <t>China Eastern Airlines Corporation Limited</t>
  </si>
  <si>
    <t>8.89B</t>
  </si>
  <si>
    <t>SAS-DKK.CO</t>
  </si>
  <si>
    <t>8.822B</t>
  </si>
  <si>
    <t>INR.F</t>
  </si>
  <si>
    <t>8.874B</t>
  </si>
  <si>
    <t>IAG.VI</t>
  </si>
  <si>
    <t>8.714B</t>
  </si>
  <si>
    <t>SNI.OL</t>
  </si>
  <si>
    <t>Stolt-Nielsen Limited</t>
  </si>
  <si>
    <t>8.591B</t>
  </si>
  <si>
    <t>K22.F</t>
  </si>
  <si>
    <t>Keio Corporation</t>
  </si>
  <si>
    <t>8.23B</t>
  </si>
  <si>
    <t>BWLPG.OL</t>
  </si>
  <si>
    <t>BW LPG Limited</t>
  </si>
  <si>
    <t>8.12B</t>
  </si>
  <si>
    <t>SIA1.F</t>
  </si>
  <si>
    <t>Singapore Airlines Limited</t>
  </si>
  <si>
    <t>8.065B</t>
  </si>
  <si>
    <t>YTT.F</t>
  </si>
  <si>
    <t>Yamato Holdings Co., Ltd.</t>
  </si>
  <si>
    <t>8.085B</t>
  </si>
  <si>
    <t>JALA.F</t>
  </si>
  <si>
    <t>Japan Airlines Co., Ltd.</t>
  </si>
  <si>
    <t>7.6B</t>
  </si>
  <si>
    <t>PGSUS.IS</t>
  </si>
  <si>
    <t>Pegasus Hava Tasimaciligi Anonim Sirketi</t>
  </si>
  <si>
    <t>7.519B</t>
  </si>
  <si>
    <t>WWI.OL</t>
  </si>
  <si>
    <t>Wilh. Wilhelmsen Holding ASA</t>
  </si>
  <si>
    <t>7.386B</t>
  </si>
  <si>
    <t>GET.PA</t>
  </si>
  <si>
    <t>Getlink SE</t>
  </si>
  <si>
    <t>7.348B</t>
  </si>
  <si>
    <t>01T.F</t>
  </si>
  <si>
    <t>Tokyu Corporation</t>
  </si>
  <si>
    <t>6.835B</t>
  </si>
  <si>
    <t>GOGL.OL</t>
  </si>
  <si>
    <t>Golden Ocean Group Limited</t>
  </si>
  <si>
    <t>6.36B</t>
  </si>
  <si>
    <t>BZTA.F</t>
  </si>
  <si>
    <t>Auckland International Airport Limited</t>
  </si>
  <si>
    <t>6.311B</t>
  </si>
  <si>
    <t>AVAP.L</t>
  </si>
  <si>
    <t>Avation PLC</t>
  </si>
  <si>
    <t>62.67M</t>
  </si>
  <si>
    <t>RS3.F</t>
  </si>
  <si>
    <t>China Railway Signal &amp; Communication Corporation Limited</t>
  </si>
  <si>
    <t>7.466B</t>
  </si>
  <si>
    <t>LHA.F</t>
  </si>
  <si>
    <t>Deutsche Lufthansa AG</t>
  </si>
  <si>
    <t>6.205B</t>
  </si>
  <si>
    <t>ANCA.F</t>
  </si>
  <si>
    <t>ANA Holdings Inc.</t>
  </si>
  <si>
    <t>6.156B</t>
  </si>
  <si>
    <t>KSX.F</t>
  </si>
  <si>
    <t>Knight-Swift Transportation Holdings Inc.</t>
  </si>
  <si>
    <t>5.963B</t>
  </si>
  <si>
    <t>BMS.L</t>
  </si>
  <si>
    <t>Braemar Shipping Services Plc</t>
  </si>
  <si>
    <t>59.813M</t>
  </si>
  <si>
    <t>9TF.F</t>
  </si>
  <si>
    <t>TFI International Inc.</t>
  </si>
  <si>
    <t>5.706B</t>
  </si>
  <si>
    <t>QAN.F</t>
  </si>
  <si>
    <t>Qantas Airways Limited</t>
  </si>
  <si>
    <t>5.771B</t>
  </si>
  <si>
    <t>NOBINA.ST</t>
  </si>
  <si>
    <t>Nobina AB (publ)</t>
  </si>
  <si>
    <t>5.824B</t>
  </si>
  <si>
    <t>WI2.F</t>
  </si>
  <si>
    <t>5.581B</t>
  </si>
  <si>
    <t>ALK.F</t>
  </si>
  <si>
    <t>Alaska Air Group, Inc.</t>
  </si>
  <si>
    <t>5.975B</t>
  </si>
  <si>
    <t>HAFNI.OL</t>
  </si>
  <si>
    <t>Hafnia Limited</t>
  </si>
  <si>
    <t>5.62B</t>
  </si>
  <si>
    <t>DOCO.IS</t>
  </si>
  <si>
    <t>DO &amp; CO Aktiengesellschaft</t>
  </si>
  <si>
    <t>5.351B</t>
  </si>
  <si>
    <t>GPH.L</t>
  </si>
  <si>
    <t>Global Ports Holding Plc</t>
  </si>
  <si>
    <t>53.089M</t>
  </si>
  <si>
    <t>KEI.F</t>
  </si>
  <si>
    <t>Keisei Electric Railway Co., Ltd.</t>
  </si>
  <si>
    <t>5.249B</t>
  </si>
  <si>
    <t>T41.F</t>
  </si>
  <si>
    <t>Tobu Railway Co., Ltd.</t>
  </si>
  <si>
    <t>5.214B</t>
  </si>
  <si>
    <t>ORI1.F</t>
  </si>
  <si>
    <t>Orient Overseas (International) Limited</t>
  </si>
  <si>
    <t>4.933B</t>
  </si>
  <si>
    <t>G9N.F</t>
  </si>
  <si>
    <t>Grupo Aeroportuario del Pacífico, S.A.B. de C.V.</t>
  </si>
  <si>
    <t>4.812B</t>
  </si>
  <si>
    <t>8BO.F</t>
  </si>
  <si>
    <t>BOC Aviation Limited</t>
  </si>
  <si>
    <t>4.826B</t>
  </si>
  <si>
    <t>0QP.F</t>
  </si>
  <si>
    <t>Qingdao Port International Co., Ltd.</t>
  </si>
  <si>
    <t>4.805B</t>
  </si>
  <si>
    <t>R1D.F</t>
  </si>
  <si>
    <t>AerCap Holdings N.V.</t>
  </si>
  <si>
    <t>4.763B</t>
  </si>
  <si>
    <t>AIR.L</t>
  </si>
  <si>
    <t>Air Partner plc</t>
  </si>
  <si>
    <t>46.846M</t>
  </si>
  <si>
    <t>FHZN.SW</t>
  </si>
  <si>
    <t>Flughafen Zürich AG</t>
  </si>
  <si>
    <t>4.682B</t>
  </si>
  <si>
    <t>CTY.F</t>
  </si>
  <si>
    <t>Cathay Pacific Airways Limited</t>
  </si>
  <si>
    <t>4.467B</t>
  </si>
  <si>
    <t>ZTX.F</t>
  </si>
  <si>
    <t>Zhuzhou CRRC Times Electric Co., Ltd.</t>
  </si>
  <si>
    <t>4.651B</t>
  </si>
  <si>
    <t>QRL.F</t>
  </si>
  <si>
    <t>Aurizon Holdings Limited</t>
  </si>
  <si>
    <t>4.509B</t>
  </si>
  <si>
    <t>AED.F</t>
  </si>
  <si>
    <t>Grupo Aeroportuario del Sureste, S. A. B. de C. V.</t>
  </si>
  <si>
    <t>4.351B</t>
  </si>
  <si>
    <t>OCY.OL</t>
  </si>
  <si>
    <t>Ocean Yield ASA</t>
  </si>
  <si>
    <t>4.5B</t>
  </si>
  <si>
    <t>D7P.F</t>
  </si>
  <si>
    <t>Liaoning Port Co.,Ltd.</t>
  </si>
  <si>
    <t>4.619B</t>
  </si>
  <si>
    <t>59V.F</t>
  </si>
  <si>
    <t>Nagoya Railroad Co., Ltd.</t>
  </si>
  <si>
    <t>4.355B</t>
  </si>
  <si>
    <t>FRA.DE</t>
  </si>
  <si>
    <t>Fraport AG</t>
  </si>
  <si>
    <t>4.324B</t>
  </si>
  <si>
    <t>SRAIL.SW</t>
  </si>
  <si>
    <t>Stadler Rail AG</t>
  </si>
  <si>
    <t>4.31B</t>
  </si>
  <si>
    <t>FJORD.OL</t>
  </si>
  <si>
    <t>Fjord1 ASA</t>
  </si>
  <si>
    <t>4.296B</t>
  </si>
  <si>
    <t>CPM.F</t>
  </si>
  <si>
    <t>China Merchants Port Holdings Company Limited</t>
  </si>
  <si>
    <t>4.176B</t>
  </si>
  <si>
    <t>DNORD.CO</t>
  </si>
  <si>
    <t>Dampskibsselskabet Norden A/S</t>
  </si>
  <si>
    <t>4.271B</t>
  </si>
  <si>
    <t>CLEBI.IS</t>
  </si>
  <si>
    <t>Çelebi Hava Servisi A.S.</t>
  </si>
  <si>
    <t>4.262B</t>
  </si>
  <si>
    <t>SQR.F</t>
  </si>
  <si>
    <t>Saia, Inc.</t>
  </si>
  <si>
    <t>4.407B</t>
  </si>
  <si>
    <t>43BA.F</t>
  </si>
  <si>
    <t>3.865B</t>
  </si>
  <si>
    <t>CADLR.OL</t>
  </si>
  <si>
    <t>Cadeler A/S</t>
  </si>
  <si>
    <t>3.976B</t>
  </si>
  <si>
    <t>NYKA.F</t>
  </si>
  <si>
    <t>Nippon Yusen Kabushiki Kaisha</t>
  </si>
  <si>
    <t>4.064B</t>
  </si>
  <si>
    <t>09T.SG</t>
  </si>
  <si>
    <t>BTS Group Holdings Public Company Limited</t>
  </si>
  <si>
    <t>3.504B</t>
  </si>
  <si>
    <t>0JA.SG</t>
  </si>
  <si>
    <t>Japan Airport Terminal Co., Ltd.</t>
  </si>
  <si>
    <t>3.548B</t>
  </si>
  <si>
    <t>B4X.F</t>
  </si>
  <si>
    <t>Bangkok Expressway and Metro Public Company Limited</t>
  </si>
  <si>
    <t>3.418B</t>
  </si>
  <si>
    <t>SNIA.F</t>
  </si>
  <si>
    <t>Schneider National, Inc.</t>
  </si>
  <si>
    <t>3.268B</t>
  </si>
  <si>
    <t>KRH.F</t>
  </si>
  <si>
    <t>Kyushu Railway Company</t>
  </si>
  <si>
    <t>3.207B</t>
  </si>
  <si>
    <t>TTA.F</t>
  </si>
  <si>
    <t>Trinity Industries, Inc.</t>
  </si>
  <si>
    <t>3.055B</t>
  </si>
  <si>
    <t>MILA.F</t>
  </si>
  <si>
    <t>Mitsui O.S.K. Lines, Ltd.</t>
  </si>
  <si>
    <t>2.978B</t>
  </si>
  <si>
    <t>W1J.F</t>
  </si>
  <si>
    <t>SATS Ltd.</t>
  </si>
  <si>
    <t>2.844B</t>
  </si>
  <si>
    <t>CBDG.PA</t>
  </si>
  <si>
    <t>Compagnie du Cambodge</t>
  </si>
  <si>
    <t>2.883B</t>
  </si>
  <si>
    <t>KIY.F</t>
  </si>
  <si>
    <t>Kirby Corporation</t>
  </si>
  <si>
    <t>2.926B</t>
  </si>
  <si>
    <t>AGH.F</t>
  </si>
  <si>
    <t>Allegiant Travel Company</t>
  </si>
  <si>
    <t>2.855B</t>
  </si>
  <si>
    <t>C2H.F</t>
  </si>
  <si>
    <t>Copa Holdings, S.A.</t>
  </si>
  <si>
    <t>2.831B</t>
  </si>
  <si>
    <t>MPCC.OL</t>
  </si>
  <si>
    <t>MPC Container Ships ASA</t>
  </si>
  <si>
    <t>2.576B</t>
  </si>
  <si>
    <t>GMAA.L</t>
  </si>
  <si>
    <t>Gama Aviation Plc</t>
  </si>
  <si>
    <t>25.465M</t>
  </si>
  <si>
    <t>BJ1.F</t>
  </si>
  <si>
    <t>Beijing Capital International Airport Company Limited</t>
  </si>
  <si>
    <t>2.531B</t>
  </si>
  <si>
    <t>S64.F</t>
  </si>
  <si>
    <t>Spirit Airlines, Inc.</t>
  </si>
  <si>
    <t>2.558B</t>
  </si>
  <si>
    <t>WE1.F</t>
  </si>
  <si>
    <t>Werner Enterprises, Inc.</t>
  </si>
  <si>
    <t>2.294B</t>
  </si>
  <si>
    <t>8AZA.F</t>
  </si>
  <si>
    <t>Azul S.A.</t>
  </si>
  <si>
    <t>2.302B</t>
  </si>
  <si>
    <t>14M.F</t>
  </si>
  <si>
    <t>Macquarie Infrastructure Corporation</t>
  </si>
  <si>
    <t>2.318B</t>
  </si>
  <si>
    <t>XSE.F</t>
  </si>
  <si>
    <t>Seino Holdings Co., Ltd.</t>
  </si>
  <si>
    <t>2.26B</t>
  </si>
  <si>
    <t>BZU.F</t>
  </si>
  <si>
    <t>Air New Zealand Limited</t>
  </si>
  <si>
    <t>2.262B</t>
  </si>
  <si>
    <t>ODF.OL</t>
  </si>
  <si>
    <t>Odfjell SE</t>
  </si>
  <si>
    <t>2.222B</t>
  </si>
  <si>
    <t>VZ1.SG</t>
  </si>
  <si>
    <t>ComfortDelGro Corporation Limited</t>
  </si>
  <si>
    <t>2.15B</t>
  </si>
  <si>
    <t>29K.F</t>
  </si>
  <si>
    <t>2.125B</t>
  </si>
  <si>
    <t>VZ1.F</t>
  </si>
  <si>
    <t>2.138B</t>
  </si>
  <si>
    <t>NAS.OL</t>
  </si>
  <si>
    <t>Norwegian Air Shuttle ASA</t>
  </si>
  <si>
    <t>2.143B</t>
  </si>
  <si>
    <t>3NA.F</t>
  </si>
  <si>
    <t>2.095B</t>
  </si>
  <si>
    <t>AF.PA</t>
  </si>
  <si>
    <t>Air France-KLM SA</t>
  </si>
  <si>
    <t>2.106B</t>
  </si>
  <si>
    <t>OET.OL</t>
  </si>
  <si>
    <t>Okeanis Eco Tankers Corp.</t>
  </si>
  <si>
    <t>2.046B</t>
  </si>
  <si>
    <t>ENV.F</t>
  </si>
  <si>
    <t>ENAV S.p.A.</t>
  </si>
  <si>
    <t>2.02B</t>
  </si>
  <si>
    <t>HAO.F</t>
  </si>
  <si>
    <t>Hainan Meilan International Airport Company Limited</t>
  </si>
  <si>
    <t>2.055B</t>
  </si>
  <si>
    <t xml:space="preserve">Financial insurance </t>
  </si>
  <si>
    <t xml:space="preserve">    Financial insurance is a type of insurance policy that is frequently purchased by businesses. It provides coverage that protects them from losses due to a partner in a contract failing to meet their obligations. It can also protect against various other types of commercial financial losses. A person or organization purchases an insurance policy. This makes them the policyholder. The policy will be worth a designated amount and is used as protection against risk of some kind. Fire insurance protects the policyholder from losses in case of fire, for example. Businesses use all kinds of insurance in order to protect themselves, including policies designed to protect their financial commitments.</t>
  </si>
  <si>
    <t>BRK-A</t>
  </si>
  <si>
    <t>Berkshire Hathaway Inc.</t>
  </si>
  <si>
    <t>546.939B</t>
  </si>
  <si>
    <t>JPM</t>
  </si>
  <si>
    <t>JPMorgan Chase &amp; Co.</t>
  </si>
  <si>
    <t>407.979B</t>
  </si>
  <si>
    <t>V</t>
  </si>
  <si>
    <t>Visa Inc.</t>
  </si>
  <si>
    <t>445.335B</t>
  </si>
  <si>
    <t>JPM-PC</t>
  </si>
  <si>
    <t>367.43B</t>
  </si>
  <si>
    <t>IDCBY</t>
  </si>
  <si>
    <t>Industrial and Commercial Bank of China Limited</t>
  </si>
  <si>
    <t>266.665B</t>
  </si>
  <si>
    <t>BAC-PL</t>
  </si>
  <si>
    <t>Bank of America Corporation</t>
  </si>
  <si>
    <t>284.314B</t>
  </si>
  <si>
    <t>MA</t>
  </si>
  <si>
    <t>Mastercard Incorporated</t>
  </si>
  <si>
    <t>327.978B</t>
  </si>
  <si>
    <t>WFC-PL</t>
  </si>
  <si>
    <t>Wells Fargo &amp; Company</t>
  </si>
  <si>
    <t>227.246B</t>
  </si>
  <si>
    <t>BAC-PC</t>
  </si>
  <si>
    <t>253.186B</t>
  </si>
  <si>
    <t>WFC-PX</t>
  </si>
  <si>
    <t>216.487B</t>
  </si>
  <si>
    <t>PYPL</t>
  </si>
  <si>
    <t>PayPal Holdings, Inc.</t>
  </si>
  <si>
    <t>295.266B</t>
  </si>
  <si>
    <t>WFC-PW</t>
  </si>
  <si>
    <t>206.104B</t>
  </si>
  <si>
    <t>BAC-PB</t>
  </si>
  <si>
    <t>274.367B</t>
  </si>
  <si>
    <t>PNGAY</t>
  </si>
  <si>
    <t>Ping An Insurance (Group) Company of China, Ltd.</t>
  </si>
  <si>
    <t>234.119B</t>
  </si>
  <si>
    <t>CIHHF</t>
  </si>
  <si>
    <t>China Merchants Bank Co., Ltd.</t>
  </si>
  <si>
    <t>199.728B</t>
  </si>
  <si>
    <t>CICHY</t>
  </si>
  <si>
    <t>China Construction Bank Corporation</t>
  </si>
  <si>
    <t>197.707B</t>
  </si>
  <si>
    <t>CIHKY</t>
  </si>
  <si>
    <t>C-PJ</t>
  </si>
  <si>
    <t>Citigroup Inc.</t>
  </si>
  <si>
    <t>160.414B</t>
  </si>
  <si>
    <t>ACGBF</t>
  </si>
  <si>
    <t>Agricultural Bank of China Limited</t>
  </si>
  <si>
    <t>166.711B</t>
  </si>
  <si>
    <t>BPHLY</t>
  </si>
  <si>
    <t>Bank of the Philippine Islands</t>
  </si>
  <si>
    <t>160.152B</t>
  </si>
  <si>
    <t>AAIGF</t>
  </si>
  <si>
    <t>AIA Group Limited</t>
  </si>
  <si>
    <t>156.595B</t>
  </si>
  <si>
    <t>WFC</t>
  </si>
  <si>
    <t>132.194B</t>
  </si>
  <si>
    <t>C</t>
  </si>
  <si>
    <t>127.695B</t>
  </si>
  <si>
    <t>LFC</t>
  </si>
  <si>
    <t>China Life Insurance Company Limited</t>
  </si>
  <si>
    <t>139.193B</t>
  </si>
  <si>
    <t>BACHY</t>
  </si>
  <si>
    <t>Bank of China Limited</t>
  </si>
  <si>
    <t>132.603B</t>
  </si>
  <si>
    <t>MS</t>
  </si>
  <si>
    <t>Morgan Stanley</t>
  </si>
  <si>
    <t>134.116B</t>
  </si>
  <si>
    <t>CMWAY</t>
  </si>
  <si>
    <t>Commonwealth Bank of Australia</t>
  </si>
  <si>
    <t>117.121B</t>
  </si>
  <si>
    <t>RY</t>
  </si>
  <si>
    <t>Royal Bank of Canada</t>
  </si>
  <si>
    <t>120.781B</t>
  </si>
  <si>
    <t>HBCYF</t>
  </si>
  <si>
    <t>HSBC Holdings plc</t>
  </si>
  <si>
    <t>113.893B</t>
  </si>
  <si>
    <t>HDB</t>
  </si>
  <si>
    <t>HDFC Bank Limited</t>
  </si>
  <si>
    <t>108.979B</t>
  </si>
  <si>
    <t>BLK</t>
  </si>
  <si>
    <t>BlackRock, Inc.</t>
  </si>
  <si>
    <t>112.119B</t>
  </si>
  <si>
    <t>SCHW</t>
  </si>
  <si>
    <t>The Charles Schwab Corporation</t>
  </si>
  <si>
    <t>109.738B</t>
  </si>
  <si>
    <t>GS</t>
  </si>
  <si>
    <t>The Goldman Sachs Group, Inc.</t>
  </si>
  <si>
    <t>99.57B</t>
  </si>
  <si>
    <t>RY-PT</t>
  </si>
  <si>
    <t>99.862B</t>
  </si>
  <si>
    <t>TD</t>
  </si>
  <si>
    <t>The Toronto-Dominion Bank</t>
  </si>
  <si>
    <t>105.612B</t>
  </si>
  <si>
    <t>AXP</t>
  </si>
  <si>
    <t>American Express Company</t>
  </si>
  <si>
    <t>101.568B</t>
  </si>
  <si>
    <t>USB-PH</t>
  </si>
  <si>
    <t>U.S. Bancorp</t>
  </si>
  <si>
    <t>99.957B</t>
  </si>
  <si>
    <t>MS-PK</t>
  </si>
  <si>
    <t>79.047B</t>
  </si>
  <si>
    <t>ALIZF</t>
  </si>
  <si>
    <t>Allianz SE</t>
  </si>
  <si>
    <t>97.936B</t>
  </si>
  <si>
    <t>GS-PK</t>
  </si>
  <si>
    <t>76.235B</t>
  </si>
  <si>
    <t>MS-PF</t>
  </si>
  <si>
    <t>74.036B</t>
  </si>
  <si>
    <t>GS-PA</t>
  </si>
  <si>
    <t>90.368B</t>
  </si>
  <si>
    <t>MS-PA</t>
  </si>
  <si>
    <t>87.608B</t>
  </si>
  <si>
    <t>USB-PP</t>
  </si>
  <si>
    <t>86.307B</t>
  </si>
  <si>
    <t>HKXCY</t>
  </si>
  <si>
    <t>Hong Kong Exchanges and Clearing Limited</t>
  </si>
  <si>
    <t>83.491B</t>
  </si>
  <si>
    <t>USB-PM</t>
  </si>
  <si>
    <t>80.123B</t>
  </si>
  <si>
    <t>SBRCY</t>
  </si>
  <si>
    <t>Sberbank of Russia</t>
  </si>
  <si>
    <t>78.709B</t>
  </si>
  <si>
    <t>SPGI</t>
  </si>
  <si>
    <t>S&amp;P Global Inc.</t>
  </si>
  <si>
    <t>75.844B</t>
  </si>
  <si>
    <t>PSTVY</t>
  </si>
  <si>
    <t>Postal Savings Bank of China Co., Ltd.</t>
  </si>
  <si>
    <t>69.578B</t>
  </si>
  <si>
    <t>USB</t>
  </si>
  <si>
    <t>69.085B</t>
  </si>
  <si>
    <t>TFC</t>
  </si>
  <si>
    <t>Truist Financial Corporation</t>
  </si>
  <si>
    <t>69.04B</t>
  </si>
  <si>
    <t>CB</t>
  </si>
  <si>
    <t>Chubb Limited</t>
  </si>
  <si>
    <t>68.848B</t>
  </si>
  <si>
    <t>BNPQF</t>
  </si>
  <si>
    <t>BNP Paribas SA</t>
  </si>
  <si>
    <t>65.392B</t>
  </si>
  <si>
    <t>BNS</t>
  </si>
  <si>
    <t>The Bank of Nova Scotia</t>
  </si>
  <si>
    <t>66.479B</t>
  </si>
  <si>
    <t>CME</t>
  </si>
  <si>
    <t>CME Group Inc.</t>
  </si>
  <si>
    <t>66.069B</t>
  </si>
  <si>
    <t>PNC</t>
  </si>
  <si>
    <t>The PNC Financial Services Group, Inc.</t>
  </si>
  <si>
    <t>64.69B</t>
  </si>
  <si>
    <t>PBCRY</t>
  </si>
  <si>
    <t>PT Bank Central Asia Tbk</t>
  </si>
  <si>
    <t>62.487B</t>
  </si>
  <si>
    <t>ICE</t>
  </si>
  <si>
    <t>Intercontinental Exchange, Inc.</t>
  </si>
  <si>
    <t>62.819B</t>
  </si>
  <si>
    <t>ZFSVF</t>
  </si>
  <si>
    <t>Zurich Insurance Group AG</t>
  </si>
  <si>
    <t>61.718B</t>
  </si>
  <si>
    <t>MBFJF</t>
  </si>
  <si>
    <t>Mitsubishi UFJ Financial Group, Inc.</t>
  </si>
  <si>
    <t>59.925B</t>
  </si>
  <si>
    <t>WBK</t>
  </si>
  <si>
    <t>Westpac Banking Corporation</t>
  </si>
  <si>
    <t>61.008B</t>
  </si>
  <si>
    <t>BAM</t>
  </si>
  <si>
    <t>Brookfield Asset Management Inc.</t>
  </si>
  <si>
    <t>58.371B</t>
  </si>
  <si>
    <t>IVSXF</t>
  </si>
  <si>
    <t>Investor AB (publ)</t>
  </si>
  <si>
    <t>57.378B</t>
  </si>
  <si>
    <t>MMC</t>
  </si>
  <si>
    <t>Marsh &amp; McLennan Companies, Inc.</t>
  </si>
  <si>
    <t>56.562B</t>
  </si>
  <si>
    <t>UBS</t>
  </si>
  <si>
    <t>UBS Group AG</t>
  </si>
  <si>
    <t>53.271B</t>
  </si>
  <si>
    <t>ANZBY</t>
  </si>
  <si>
    <t>Australia and New Zealand Banking Group Limited</t>
  </si>
  <si>
    <t>54.205B</t>
  </si>
  <si>
    <t>AXAHF</t>
  </si>
  <si>
    <t>AXA SA</t>
  </si>
  <si>
    <t>55.717B</t>
  </si>
  <si>
    <t>CIIHY</t>
  </si>
  <si>
    <t>CITIC Securities Company Limited</t>
  </si>
  <si>
    <t>55.529B</t>
  </si>
  <si>
    <t>PGR</t>
  </si>
  <si>
    <t>The Progressive Corporation</t>
  </si>
  <si>
    <t>54.029B</t>
  </si>
  <si>
    <t>SAN</t>
  </si>
  <si>
    <t>Banco Santander, S.A.</t>
  </si>
  <si>
    <t>54.353B</t>
  </si>
  <si>
    <t>NABZY</t>
  </si>
  <si>
    <t>National Australia Bank Limited</t>
  </si>
  <si>
    <t>123.401B</t>
  </si>
  <si>
    <t>SCHW-PD</t>
  </si>
  <si>
    <t>52.442B</t>
  </si>
  <si>
    <t>NAUBF</t>
  </si>
  <si>
    <t>123.402B</t>
  </si>
  <si>
    <t>BCDRF</t>
  </si>
  <si>
    <t>AGRIP</t>
  </si>
  <si>
    <t>AgriBank, FCB</t>
  </si>
  <si>
    <t>51.252B</t>
  </si>
  <si>
    <t>IBN</t>
  </si>
  <si>
    <t>ICICI Bank Limited</t>
  </si>
  <si>
    <t>50.518B</t>
  </si>
  <si>
    <t>AIG-PA</t>
  </si>
  <si>
    <t>American International Group, Inc.</t>
  </si>
  <si>
    <t>50.394B</t>
  </si>
  <si>
    <t>DBSDF</t>
  </si>
  <si>
    <t>DBS Group Holdings Ltd</t>
  </si>
  <si>
    <t>50.181B</t>
  </si>
  <si>
    <t>MCO</t>
  </si>
  <si>
    <t>Moody's Corporation</t>
  </si>
  <si>
    <t>50.086B</t>
  </si>
  <si>
    <t>MET-PA</t>
  </si>
  <si>
    <t>MetLife, Inc.</t>
  </si>
  <si>
    <t>49.726B</t>
  </si>
  <si>
    <t>DBSDY</t>
  </si>
  <si>
    <t>PUK</t>
  </si>
  <si>
    <t>Prudential plc</t>
  </si>
  <si>
    <t>49.969B</t>
  </si>
  <si>
    <t>MET-PE</t>
  </si>
  <si>
    <t>49.315B</t>
  </si>
  <si>
    <t>BMO</t>
  </si>
  <si>
    <t>Bank of Montreal</t>
  </si>
  <si>
    <t>49.886B</t>
  </si>
  <si>
    <t>COF</t>
  </si>
  <si>
    <t>Capital One Financial Corporation</t>
  </si>
  <si>
    <t>48.182B</t>
  </si>
  <si>
    <t>BKFCF</t>
  </si>
  <si>
    <t>Bank of Communications Co., Ltd.</t>
  </si>
  <si>
    <t>47.064B</t>
  </si>
  <si>
    <t>AON</t>
  </si>
  <si>
    <t>Aon Plc</t>
  </si>
  <si>
    <t>47.2B</t>
  </si>
  <si>
    <t>MET</t>
  </si>
  <si>
    <t>45.771B</t>
  </si>
  <si>
    <t>BX</t>
  </si>
  <si>
    <t>The Blackstone Group Inc.</t>
  </si>
  <si>
    <t>45.129B</t>
  </si>
  <si>
    <t>COF-PG</t>
  </si>
  <si>
    <t>44.524B</t>
  </si>
  <si>
    <t>SMFG</t>
  </si>
  <si>
    <t>Sumitomo Mitsui Financial Group, Inc.</t>
  </si>
  <si>
    <t>44.317B</t>
  </si>
  <si>
    <t>LNSTY</t>
  </si>
  <si>
    <t>London Stock Exchange Group plc</t>
  </si>
  <si>
    <t>44.015B</t>
  </si>
  <si>
    <t>BKRKF</t>
  </si>
  <si>
    <t>PT Bank Rakyat Indonesia (Persero) Tbk</t>
  </si>
  <si>
    <t>41.428B</t>
  </si>
  <si>
    <t>COF-PH</t>
  </si>
  <si>
    <t>42.848B</t>
  </si>
  <si>
    <t>BKRKY</t>
  </si>
  <si>
    <t>IITSF</t>
  </si>
  <si>
    <t>Intesa Sanpaolo S.p.A.</t>
  </si>
  <si>
    <t>44.473B</t>
  </si>
  <si>
    <t>RKT</t>
  </si>
  <si>
    <t>Rocket Companies, Inc.</t>
  </si>
  <si>
    <t>39.788B</t>
  </si>
  <si>
    <t>MURGF</t>
  </si>
  <si>
    <t>Münchener Rückversicherungs-Gesellschaft Aktiengesellschaft in München</t>
  </si>
  <si>
    <t>38.94B</t>
  </si>
  <si>
    <t>CM</t>
  </si>
  <si>
    <t>Canadian Imperial Bank of Commerce</t>
  </si>
  <si>
    <t>39.253B</t>
  </si>
  <si>
    <t>LLDTF</t>
  </si>
  <si>
    <t>Lloyds Banking Group plc</t>
  </si>
  <si>
    <t>33.81B</t>
  </si>
  <si>
    <t>MQBKY</t>
  </si>
  <si>
    <t>Macquarie Group Limited</t>
  </si>
  <si>
    <t>38.497B</t>
  </si>
  <si>
    <t>PINXY</t>
  </si>
  <si>
    <t>The People's Insurance Company (Group) of China Limited</t>
  </si>
  <si>
    <t>37.053B</t>
  </si>
  <si>
    <t>LU</t>
  </si>
  <si>
    <t>Lufax Holding Ltd</t>
  </si>
  <si>
    <t>39.418B</t>
  </si>
  <si>
    <t>TKOMF</t>
  </si>
  <si>
    <t>Tokio Marine Holdings, Inc.</t>
  </si>
  <si>
    <t>36.498B</t>
  </si>
  <si>
    <t>BK</t>
  </si>
  <si>
    <t>The Bank of New York Mellon Corporation</t>
  </si>
  <si>
    <t>37.182B</t>
  </si>
  <si>
    <t>TRV</t>
  </si>
  <si>
    <t>The Travelers Companies, Inc.</t>
  </si>
  <si>
    <t>36.81B</t>
  </si>
  <si>
    <t>MFC</t>
  </si>
  <si>
    <t>Manulife Financial Corporation</t>
  </si>
  <si>
    <t>37.035B</t>
  </si>
  <si>
    <t>INGVF</t>
  </si>
  <si>
    <t>ING Groep N.V.</t>
  </si>
  <si>
    <t>36.582B</t>
  </si>
  <si>
    <t>TKOMY</t>
  </si>
  <si>
    <t>HSNGF</t>
  </si>
  <si>
    <t>Hang Seng Bank Limited</t>
  </si>
  <si>
    <t>35.489B</t>
  </si>
  <si>
    <t>MCQEF</t>
  </si>
  <si>
    <t>ALL-PG</t>
  </si>
  <si>
    <t>The Allstate Corporation</t>
  </si>
  <si>
    <t>35.704B</t>
  </si>
  <si>
    <t>TROW</t>
  </si>
  <si>
    <t>T. Rowe Price Group, Inc.</t>
  </si>
  <si>
    <t>35.371B</t>
  </si>
  <si>
    <t>BCLYF</t>
  </si>
  <si>
    <t>Barclays PLC</t>
  </si>
  <si>
    <t>34.09B</t>
  </si>
  <si>
    <t>CRARF</t>
  </si>
  <si>
    <t>Crédit Agricole S.A.</t>
  </si>
  <si>
    <t>35.189B</t>
  </si>
  <si>
    <t>ALL-PH</t>
  </si>
  <si>
    <t>34.664B</t>
  </si>
  <si>
    <t>AIG</t>
  </si>
  <si>
    <t>34.53B</t>
  </si>
  <si>
    <t>NBNKF</t>
  </si>
  <si>
    <t>Nordea Bank Abp</t>
  </si>
  <si>
    <t>34.335B</t>
  </si>
  <si>
    <t>MZHOF</t>
  </si>
  <si>
    <t>Mizuho Financial Group, Inc.</t>
  </si>
  <si>
    <t>34.47B</t>
  </si>
  <si>
    <t>MSCI</t>
  </si>
  <si>
    <t>MSCI Inc.</t>
  </si>
  <si>
    <t>34.143B</t>
  </si>
  <si>
    <t>BCS</t>
  </si>
  <si>
    <t>OVCHY</t>
  </si>
  <si>
    <t>Oversea-Chinese Banking Corporation Limited</t>
  </si>
  <si>
    <t>35.308B</t>
  </si>
  <si>
    <t>ALL</t>
  </si>
  <si>
    <t>33.578B</t>
  </si>
  <si>
    <t>LYG</t>
  </si>
  <si>
    <t>CMAKY</t>
  </si>
  <si>
    <t>China Minsheng Banking Corp., Ltd.</t>
  </si>
  <si>
    <t>33.224B</t>
  </si>
  <si>
    <t>CS</t>
  </si>
  <si>
    <t>Credit Suisse Group AG</t>
  </si>
  <si>
    <t>33.304B</t>
  </si>
  <si>
    <t>BHKLY</t>
  </si>
  <si>
    <t>BOC Hong Kong (Holdings) Limited</t>
  </si>
  <si>
    <t>33.142B</t>
  </si>
  <si>
    <t>JPPHY</t>
  </si>
  <si>
    <t>Japan Post Holdings Co., Ltd.</t>
  </si>
  <si>
    <t>32.476B</t>
  </si>
  <si>
    <t>PRU</t>
  </si>
  <si>
    <t>Prudential Financial, Inc.</t>
  </si>
  <si>
    <t>32.718B</t>
  </si>
  <si>
    <t>AFL</t>
  </si>
  <si>
    <t>Aflac Incorporated</t>
  </si>
  <si>
    <t>32.615B</t>
  </si>
  <si>
    <t>BBVXF</t>
  </si>
  <si>
    <t>Banco Bilbao Vizcaya Argentaria, S.A.</t>
  </si>
  <si>
    <t>32.399B</t>
  </si>
  <si>
    <t>PGPHF</t>
  </si>
  <si>
    <t>Partners Group Holding AG</t>
  </si>
  <si>
    <t>31.9B</t>
  </si>
  <si>
    <t>ITUB</t>
  </si>
  <si>
    <t>Itaú Unibanco Holding S.A.</t>
  </si>
  <si>
    <t>50.397B</t>
  </si>
  <si>
    <t>FMCCT</t>
  </si>
  <si>
    <t>Freddie Mac</t>
  </si>
  <si>
    <t>31.15B</t>
  </si>
  <si>
    <t>DNBHF</t>
  </si>
  <si>
    <t>DNB ASA</t>
  </si>
  <si>
    <t>30.886B</t>
  </si>
  <si>
    <t>UOVEY</t>
  </si>
  <si>
    <t>United Overseas Bank Limited</t>
  </si>
  <si>
    <t>29.854B</t>
  </si>
  <si>
    <t>KBCSY</t>
  </si>
  <si>
    <t>KBC Group NV</t>
  </si>
  <si>
    <t>30.056B</t>
  </si>
  <si>
    <t>DBOEF</t>
  </si>
  <si>
    <t>Deutsche Börse AG</t>
  </si>
  <si>
    <t>29.653B</t>
  </si>
  <si>
    <t>IBKR</t>
  </si>
  <si>
    <t>Interactive Brokers Group, Inc.</t>
  </si>
  <si>
    <t>29.498B</t>
  </si>
  <si>
    <t>DFS</t>
  </si>
  <si>
    <t>Discover Financial Services</t>
  </si>
  <si>
    <t>28.327B</t>
  </si>
  <si>
    <t>BBDO</t>
  </si>
  <si>
    <t>Banco Bradesco S.A.</t>
  </si>
  <si>
    <t>38.687B</t>
  </si>
  <si>
    <t>SLF</t>
  </si>
  <si>
    <t>Sun Life Financial Inc.</t>
  </si>
  <si>
    <t>28.089B</t>
  </si>
  <si>
    <t>ARZGY</t>
  </si>
  <si>
    <t>Assicurazioni Generali S.p.A.</t>
  </si>
  <si>
    <t>27.706B</t>
  </si>
  <si>
    <t>BSBR</t>
  </si>
  <si>
    <t>Banco Santander (Brasil) S.A.</t>
  </si>
  <si>
    <t>27.791B</t>
  </si>
  <si>
    <t>FRC</t>
  </si>
  <si>
    <t>First Republic Bank</t>
  </si>
  <si>
    <t>26.956B</t>
  </si>
  <si>
    <t>WLTW</t>
  </si>
  <si>
    <t>Willis Towers Watson Public Limited Company</t>
  </si>
  <si>
    <t>26.619B</t>
  </si>
  <si>
    <t>NWG</t>
  </si>
  <si>
    <t>NatWest Group plc</t>
  </si>
  <si>
    <t>25.89B</t>
  </si>
  <si>
    <t>STT</t>
  </si>
  <si>
    <t>State Street Corporation</t>
  </si>
  <si>
    <t>26.194B</t>
  </si>
  <si>
    <t>SSREY</t>
  </si>
  <si>
    <t>Swiss Re AG</t>
  </si>
  <si>
    <t>25.616B</t>
  </si>
  <si>
    <t>MLYBY</t>
  </si>
  <si>
    <t>Malayan Banking Berhad</t>
  </si>
  <si>
    <t>22.563B</t>
  </si>
  <si>
    <t>AMP</t>
  </si>
  <si>
    <t>Ameriprise Financial, Inc.</t>
  </si>
  <si>
    <t>24.987B</t>
  </si>
  <si>
    <t>SIVB</t>
  </si>
  <si>
    <t>SVB Financial Group</t>
  </si>
  <si>
    <t>24.914B</t>
  </si>
  <si>
    <t>SVKEF</t>
  </si>
  <si>
    <t>Skandinaviska Enskilda Banken AB (publ.)</t>
  </si>
  <si>
    <t>24.31B</t>
  </si>
  <si>
    <t>SAXPF</t>
  </si>
  <si>
    <t>Sampo Oyj</t>
  </si>
  <si>
    <t>24.11B</t>
  </si>
  <si>
    <t>PPERF</t>
  </si>
  <si>
    <t>PT Bank Mandiri (Persero) Tbk</t>
  </si>
  <si>
    <t>24.038B</t>
  </si>
  <si>
    <t>XP</t>
  </si>
  <si>
    <t>XP Inc.</t>
  </si>
  <si>
    <t>23.236B</t>
  </si>
  <si>
    <t>NDAQ</t>
  </si>
  <si>
    <t>Nasdaq, Inc.</t>
  </si>
  <si>
    <t>23.034B</t>
  </si>
  <si>
    <t>KKR</t>
  </si>
  <si>
    <t>KKR &amp; Co. Inc.</t>
  </si>
  <si>
    <t>22.881B</t>
  </si>
  <si>
    <t>MLYNF</t>
  </si>
  <si>
    <t>AJG</t>
  </si>
  <si>
    <t>Arthur J. Gallagher &amp; Co.</t>
  </si>
  <si>
    <t>22.663B</t>
  </si>
  <si>
    <t>SWDBY</t>
  </si>
  <si>
    <t>Swedbank AB (publ)</t>
  </si>
  <si>
    <t>22.046B</t>
  </si>
  <si>
    <t>DB</t>
  </si>
  <si>
    <t>Deutsche Bank Aktiengesellschaft</t>
  </si>
  <si>
    <t>22.35B</t>
  </si>
  <si>
    <t>GWLIF</t>
  </si>
  <si>
    <t>Great-West Lifeco Inc.</t>
  </si>
  <si>
    <t>22.23B</t>
  </si>
  <si>
    <t>STT-PD</t>
  </si>
  <si>
    <t>22.127B</t>
  </si>
  <si>
    <t>FITB</t>
  </si>
  <si>
    <t>Fifth Third Bancorp</t>
  </si>
  <si>
    <t>22.024B</t>
  </si>
  <si>
    <t>SYF</t>
  </si>
  <si>
    <t>Synchrony Financial</t>
  </si>
  <si>
    <t>21.816B</t>
  </si>
  <si>
    <t>LGGNY</t>
  </si>
  <si>
    <t>Legal &amp; General Group Plc</t>
  </si>
  <si>
    <t>21.715B</t>
  </si>
  <si>
    <t>SCBFF</t>
  </si>
  <si>
    <t>Standard Chartered PLC</t>
  </si>
  <si>
    <t>20.012B</t>
  </si>
  <si>
    <t>UNCFF</t>
  </si>
  <si>
    <t>UniCredit S.p.A.</t>
  </si>
  <si>
    <t>21.097B</t>
  </si>
  <si>
    <t>LGGNF</t>
  </si>
  <si>
    <t>UNCRY</t>
  </si>
  <si>
    <t>21.075B</t>
  </si>
  <si>
    <t>HIG-PG</t>
  </si>
  <si>
    <t>The Hartford Financial Services Group, Inc.</t>
  </si>
  <si>
    <t>21.134B</t>
  </si>
  <si>
    <t>SVNLY</t>
  </si>
  <si>
    <t>Svenska Handelsbanken AB (publ)</t>
  </si>
  <si>
    <t>20.989B</t>
  </si>
  <si>
    <t>IX</t>
  </si>
  <si>
    <t>ORIX Corporation</t>
  </si>
  <si>
    <t>20.478B</t>
  </si>
  <si>
    <t>FITBI</t>
  </si>
  <si>
    <t>20.175B</t>
  </si>
  <si>
    <t>SCBFY</t>
  </si>
  <si>
    <t>KEY-PK</t>
  </si>
  <si>
    <t>KeyCorp</t>
  </si>
  <si>
    <t>19.955B</t>
  </si>
  <si>
    <t>NTRS</t>
  </si>
  <si>
    <t>Northern Trust Corporation</t>
  </si>
  <si>
    <t>19.704B</t>
  </si>
  <si>
    <t>NTIOF</t>
  </si>
  <si>
    <t>National Bank of Canada</t>
  </si>
  <si>
    <t>19.537B</t>
  </si>
  <si>
    <t>HVRRY</t>
  </si>
  <si>
    <t>Hannover Rück SE</t>
  </si>
  <si>
    <t>19.481B</t>
  </si>
  <si>
    <t>MKTX</t>
  </si>
  <si>
    <t>MarketAxess Holdings Inc.</t>
  </si>
  <si>
    <t>19.35B</t>
  </si>
  <si>
    <t>AVVIY</t>
  </si>
  <si>
    <t>Aviva plc</t>
  </si>
  <si>
    <t>18.826B</t>
  </si>
  <si>
    <t>MTB</t>
  </si>
  <si>
    <t>M&amp;T Bank Corporation</t>
  </si>
  <si>
    <t>18.366B</t>
  </si>
  <si>
    <t>PPCCF</t>
  </si>
  <si>
    <t>PICC Property and Casualty Company Limited</t>
  </si>
  <si>
    <t>17.273B</t>
  </si>
  <si>
    <t>DCNSF</t>
  </si>
  <si>
    <t>Dai-ichi Life Holdings, Inc.</t>
  </si>
  <si>
    <t>17.72B</t>
  </si>
  <si>
    <t>HIG</t>
  </si>
  <si>
    <t>18.049B</t>
  </si>
  <si>
    <t>KEY-PJ</t>
  </si>
  <si>
    <t>18.026B</t>
  </si>
  <si>
    <t>BDORY</t>
  </si>
  <si>
    <t>Banco do Brasil S.A.</t>
  </si>
  <si>
    <t>17.815B</t>
  </si>
  <si>
    <t>PPCCY</t>
  </si>
  <si>
    <t>FRC-PI</t>
  </si>
  <si>
    <t>17.23B</t>
  </si>
  <si>
    <t>KEY-PI</t>
  </si>
  <si>
    <t>17.155B</t>
  </si>
  <si>
    <t>ALLY</t>
  </si>
  <si>
    <t>Ally Financial Inc.</t>
  </si>
  <si>
    <t>15.182B</t>
  </si>
  <si>
    <t>MSADY</t>
  </si>
  <si>
    <t>MS&amp;AD Insurance Group Holdings, Inc.</t>
  </si>
  <si>
    <t>17.079B</t>
  </si>
  <si>
    <t>RF</t>
  </si>
  <si>
    <t>Regions Financial Corporation</t>
  </si>
  <si>
    <t>17.038B</t>
  </si>
  <si>
    <t>FRC-PH</t>
  </si>
  <si>
    <t>16.984B</t>
  </si>
  <si>
    <t>NMR</t>
  </si>
  <si>
    <t>Nomura Holdings, Inc.</t>
  </si>
  <si>
    <t>16.617B</t>
  </si>
  <si>
    <t>CFG-PD</t>
  </si>
  <si>
    <t>Citizens Financial Group, Inc.</t>
  </si>
  <si>
    <t>16.447B</t>
  </si>
  <si>
    <t>PWCDF</t>
  </si>
  <si>
    <t>Power Corporation of Canada</t>
  </si>
  <si>
    <t>16.616B</t>
  </si>
  <si>
    <t>DNKEY</t>
  </si>
  <si>
    <t>Danske Bank A/S</t>
  </si>
  <si>
    <t>15.817B</t>
  </si>
  <si>
    <t>IFCZF</t>
  </si>
  <si>
    <t>Intact Financial Corporation</t>
  </si>
  <si>
    <t>16.421B</t>
  </si>
  <si>
    <t>SCGLY</t>
  </si>
  <si>
    <t>Société Générale Société anonyme</t>
  </si>
  <si>
    <t>16.742B</t>
  </si>
  <si>
    <t>FRC-PG</t>
  </si>
  <si>
    <t>15.938B</t>
  </si>
  <si>
    <t>KB</t>
  </si>
  <si>
    <t>KB Financial Group Inc.</t>
  </si>
  <si>
    <t>15.802B</t>
  </si>
  <si>
    <t>GBLBF</t>
  </si>
  <si>
    <t>Groupe Bruxelles Lambert SA</t>
  </si>
  <si>
    <t>15.654B</t>
  </si>
  <si>
    <t>GBOOY</t>
  </si>
  <si>
    <t>Grupo Financiero Banorte, S.A.B. de C.V.</t>
  </si>
  <si>
    <t>15.855B</t>
  </si>
  <si>
    <t>ACGLO</t>
  </si>
  <si>
    <t>Arch Capital Group Ltd.</t>
  </si>
  <si>
    <t>15.545B</t>
  </si>
  <si>
    <t>GBOOF</t>
  </si>
  <si>
    <t>15.856B</t>
  </si>
  <si>
    <t>SZLMY</t>
  </si>
  <si>
    <t>Swiss Life Holding AG</t>
  </si>
  <si>
    <t>15.402B</t>
  </si>
  <si>
    <t>TGOPY</t>
  </si>
  <si>
    <t>3i Group plc</t>
  </si>
  <si>
    <t>15.398B</t>
  </si>
  <si>
    <t>SHG</t>
  </si>
  <si>
    <t>Shinhan Financial Group Co., Ltd.</t>
  </si>
  <si>
    <t>15.426B</t>
  </si>
  <si>
    <t>RF-PA</t>
  </si>
  <si>
    <t>15.055B</t>
  </si>
  <si>
    <t>CAIXY</t>
  </si>
  <si>
    <t>CaixaBank, S.A.</t>
  </si>
  <si>
    <t>14.92B</t>
  </si>
  <si>
    <t>PFG</t>
  </si>
  <si>
    <t>Principal Financial Group, Inc.</t>
  </si>
  <si>
    <t>14.687B</t>
  </si>
  <si>
    <t>TW</t>
  </si>
  <si>
    <t>Tradeweb Markets Inc.</t>
  </si>
  <si>
    <t>14.644B</t>
  </si>
  <si>
    <t>HBAN</t>
  </si>
  <si>
    <t>Huntington Bancshares Incorporated</t>
  </si>
  <si>
    <t>14.148B</t>
  </si>
  <si>
    <t>CINF</t>
  </si>
  <si>
    <t>Cincinnati Financial Corporation</t>
  </si>
  <si>
    <t>14.05B</t>
  </si>
  <si>
    <t>RJF</t>
  </si>
  <si>
    <t>Raymond James Financial, Inc.</t>
  </si>
  <si>
    <t>14.042B</t>
  </si>
  <si>
    <t>KNVKF</t>
  </si>
  <si>
    <t>Kinnevik AB</t>
  </si>
  <si>
    <t>14.008B</t>
  </si>
  <si>
    <t>OSCUF</t>
  </si>
  <si>
    <t>Japan Exchange Group, Inc.</t>
  </si>
  <si>
    <t>13.82B</t>
  </si>
  <si>
    <t>NNGRY</t>
  </si>
  <si>
    <t>NN Group N.V.</t>
  </si>
  <si>
    <t>13.978B</t>
  </si>
  <si>
    <t>EDNMY</t>
  </si>
  <si>
    <t>Edenred SA</t>
  </si>
  <si>
    <t>13.939B</t>
  </si>
  <si>
    <t>JPXGY</t>
  </si>
  <si>
    <t>JBAXY</t>
  </si>
  <si>
    <t>Julius Bär Gruppe AG</t>
  </si>
  <si>
    <t>13.724B</t>
  </si>
  <si>
    <t>MKL</t>
  </si>
  <si>
    <t>Markel Corporation</t>
  </si>
  <si>
    <t>13.693B</t>
  </si>
  <si>
    <t>APO-PB</t>
  </si>
  <si>
    <t>Apollo Global Management, Inc.</t>
  </si>
  <si>
    <t>13.692B</t>
  </si>
  <si>
    <t>ACGL</t>
  </si>
  <si>
    <t>13.525B</t>
  </si>
  <si>
    <t>FUTU</t>
  </si>
  <si>
    <t>Futu Holdings Limited</t>
  </si>
  <si>
    <t>13.518B</t>
  </si>
  <si>
    <t>BRO</t>
  </si>
  <si>
    <t>Brown &amp; Brown, Inc.</t>
  </si>
  <si>
    <t>13.49B</t>
  </si>
  <si>
    <t>BEN</t>
  </si>
  <si>
    <t>Franklin Resources, Inc.</t>
  </si>
  <si>
    <t>13.357B</t>
  </si>
  <si>
    <t>EBKDY</t>
  </si>
  <si>
    <t>Erste Group Bank AG</t>
  </si>
  <si>
    <t>12.842B</t>
  </si>
  <si>
    <t>SGBLY</t>
  </si>
  <si>
    <t>Standard Bank Group Limited</t>
  </si>
  <si>
    <t>13.304B</t>
  </si>
  <si>
    <t>HBANO</t>
  </si>
  <si>
    <t>13.191B</t>
  </si>
  <si>
    <t>SHNWF</t>
  </si>
  <si>
    <t>Schroders plc</t>
  </si>
  <si>
    <t>12.657B</t>
  </si>
  <si>
    <t>L</t>
  </si>
  <si>
    <t>Loews Corporation</t>
  </si>
  <si>
    <t>12.779B</t>
  </si>
  <si>
    <t>EBKOF</t>
  </si>
  <si>
    <t>NTXFY</t>
  </si>
  <si>
    <t>Natixis S.A.</t>
  </si>
  <si>
    <t>12.077B</t>
  </si>
  <si>
    <t>ERIE</t>
  </si>
  <si>
    <t>Erie Indemnity Company</t>
  </si>
  <si>
    <t>12.364B</t>
  </si>
  <si>
    <t>BAP</t>
  </si>
  <si>
    <t>Credicorp Ltd.</t>
  </si>
  <si>
    <t>12.295B</t>
  </si>
  <si>
    <t>GJNSY</t>
  </si>
  <si>
    <t>Gjensidige Forsikring ASA</t>
  </si>
  <si>
    <t>12.259B</t>
  </si>
  <si>
    <t>FDS</t>
  </si>
  <si>
    <t>FactSet Research Systems Inc.</t>
  </si>
  <si>
    <t>12.162B</t>
  </si>
  <si>
    <t>AMIGY</t>
  </si>
  <si>
    <t>Admiral Group plc</t>
  </si>
  <si>
    <t>12.035B</t>
  </si>
  <si>
    <t>EQH</t>
  </si>
  <si>
    <t>Equitable Holdings, Inc.</t>
  </si>
  <si>
    <t>11.971B</t>
  </si>
  <si>
    <t>CG</t>
  </si>
  <si>
    <t>The Carlyle Group Inc.</t>
  </si>
  <si>
    <t>11.808B</t>
  </si>
  <si>
    <t>WRB</t>
  </si>
  <si>
    <t>W. R. Berkley Corporation</t>
  </si>
  <si>
    <t>11.741B</t>
  </si>
  <si>
    <t>CMTDF</t>
  </si>
  <si>
    <t>Sumitomo Mitsui Trust Holdings, Inc.</t>
  </si>
  <si>
    <t>11.451B</t>
  </si>
  <si>
    <t>FNF</t>
  </si>
  <si>
    <t>Fidelity National Financial, Inc.</t>
  </si>
  <si>
    <t>11.583B</t>
  </si>
  <si>
    <t>CNPAY</t>
  </si>
  <si>
    <t>CNP Assurances SA</t>
  </si>
  <si>
    <t>11.184B</t>
  </si>
  <si>
    <t>HRGLY</t>
  </si>
  <si>
    <t>Hargreaves Lansdown plc</t>
  </si>
  <si>
    <t>10.743B</t>
  </si>
  <si>
    <t>BKHPF</t>
  </si>
  <si>
    <t>Bank Hapoalim B.M.</t>
  </si>
  <si>
    <t>9.801B</t>
  </si>
  <si>
    <t>CNA</t>
  </si>
  <si>
    <t>CNA Financial Corporation</t>
  </si>
  <si>
    <t>10.847B</t>
  </si>
  <si>
    <t>HRGLF</t>
  </si>
  <si>
    <t>SMUUY</t>
  </si>
  <si>
    <t>The Siam Commercial Bank Public Company Limited</t>
  </si>
  <si>
    <t>10.738B</t>
  </si>
  <si>
    <t>ASXFF</t>
  </si>
  <si>
    <t>ASX Limited</t>
  </si>
  <si>
    <t>10.756B</t>
  </si>
  <si>
    <t>BBSEY</t>
  </si>
  <si>
    <t>BB Seguridade Participações S.A.</t>
  </si>
  <si>
    <t>10.579B</t>
  </si>
  <si>
    <t>BCH</t>
  </si>
  <si>
    <t>Banco de Chile</t>
  </si>
  <si>
    <t>10.701B</t>
  </si>
  <si>
    <t>APO</t>
  </si>
  <si>
    <t>10.624B</t>
  </si>
  <si>
    <t>SNMCY</t>
  </si>
  <si>
    <t>Suncorp Group Limited</t>
  </si>
  <si>
    <t>10.383B</t>
  </si>
  <si>
    <t>MORN</t>
  </si>
  <si>
    <t>Morningstar, Inc.</t>
  </si>
  <si>
    <t>10.311B</t>
  </si>
  <si>
    <t>CBOE</t>
  </si>
  <si>
    <t>Cboe Global Markets, Inc.</t>
  </si>
  <si>
    <t>10.286B</t>
  </si>
  <si>
    <t>FNMA</t>
  </si>
  <si>
    <t>Federal National Mortgage Association</t>
  </si>
  <si>
    <t>2.038B</t>
  </si>
  <si>
    <t>BSAC</t>
  </si>
  <si>
    <t>Banco Santander-Chile</t>
  </si>
  <si>
    <t>9.982B</t>
  </si>
  <si>
    <t>AGESY</t>
  </si>
  <si>
    <t>ageas SA/NV</t>
  </si>
  <si>
    <t>9.975B</t>
  </si>
  <si>
    <t>KPCPY</t>
  </si>
  <si>
    <t>Kasikornbank Public Company Limited</t>
  </si>
  <si>
    <t>10.099B</t>
  </si>
  <si>
    <t>PSZKY</t>
  </si>
  <si>
    <t>Powszechna Kasa Oszczednosci Bank Polski Spólka Akcyjna</t>
  </si>
  <si>
    <t>9.894B</t>
  </si>
  <si>
    <t>GL</t>
  </si>
  <si>
    <t>Globe Life Inc.</t>
  </si>
  <si>
    <t>9.874B</t>
  </si>
  <si>
    <t>BDOUY</t>
  </si>
  <si>
    <t>BDO Unibank, Inc.</t>
  </si>
  <si>
    <t>10.147B</t>
  </si>
  <si>
    <t>LNC</t>
  </si>
  <si>
    <t>Lincoln National Corporation</t>
  </si>
  <si>
    <t>9.799B</t>
  </si>
  <si>
    <t>IAUGY</t>
  </si>
  <si>
    <t>Insurance Australia Group Limited</t>
  </si>
  <si>
    <t>9.563B</t>
  </si>
  <si>
    <t>FRFHF</t>
  </si>
  <si>
    <t>Fairfax Financial Holdings Limited</t>
  </si>
  <si>
    <t>9.65B</t>
  </si>
  <si>
    <t>QBIEY</t>
  </si>
  <si>
    <t>QBE Insurance Group Limited</t>
  </si>
  <si>
    <t>9.643B</t>
  </si>
  <si>
    <t>IVZ</t>
  </si>
  <si>
    <t>Invesco Ltd.</t>
  </si>
  <si>
    <t>9.632B</t>
  </si>
  <si>
    <t>FNMFM</t>
  </si>
  <si>
    <t>6.936B</t>
  </si>
  <si>
    <t>RSNAY</t>
  </si>
  <si>
    <t>RSA Insurance Group plc</t>
  </si>
  <si>
    <t>9.618B</t>
  </si>
  <si>
    <t>AAVMY</t>
  </si>
  <si>
    <t>ABN AMRO Bank N.V.</t>
  </si>
  <si>
    <t>9.527B</t>
  </si>
  <si>
    <t>PNXGF</t>
  </si>
  <si>
    <t>Phoenix Group Holdings plc</t>
  </si>
  <si>
    <t>9.293B</t>
  </si>
  <si>
    <t>SLFPY</t>
  </si>
  <si>
    <t>Standard Life Aberdeen plc</t>
  </si>
  <si>
    <t>9.248B</t>
  </si>
  <si>
    <t>NHMAF</t>
  </si>
  <si>
    <t>Nihon M&amp;A Center Inc.</t>
  </si>
  <si>
    <t>9.332B</t>
  </si>
  <si>
    <t>FNMAH</t>
  </si>
  <si>
    <t>6.903B</t>
  </si>
  <si>
    <t>BKHYY</t>
  </si>
  <si>
    <t>RE</t>
  </si>
  <si>
    <t>Everest Re Group, Ltd.</t>
  </si>
  <si>
    <t>9.149B</t>
  </si>
  <si>
    <t>LPLA</t>
  </si>
  <si>
    <t>LPL Financial Holdings Inc.</t>
  </si>
  <si>
    <t>9.113B</t>
  </si>
  <si>
    <t>ATH-PA</t>
  </si>
  <si>
    <t>Athene Holding Ltd.</t>
  </si>
  <si>
    <t>9.112B</t>
  </si>
  <si>
    <t>WU</t>
  </si>
  <si>
    <t>The Western Union Company</t>
  </si>
  <si>
    <t>9.069B</t>
  </si>
  <si>
    <t>BLMIF</t>
  </si>
  <si>
    <t>Bank Leumi le- Israel B.M.</t>
  </si>
  <si>
    <t>9.376B</t>
  </si>
  <si>
    <t>FNMAS</t>
  </si>
  <si>
    <t>7.531B</t>
  </si>
  <si>
    <t>EWBC</t>
  </si>
  <si>
    <t>East West Bancorp, Inc.</t>
  </si>
  <si>
    <t>8.834B</t>
  </si>
  <si>
    <t>CRZBY</t>
  </si>
  <si>
    <t>Commerzbank AG</t>
  </si>
  <si>
    <t>8.828B</t>
  </si>
  <si>
    <t>STJPF</t>
  </si>
  <si>
    <t>St. James's Place plc</t>
  </si>
  <si>
    <t>8.774B</t>
  </si>
  <si>
    <t>FNMAG</t>
  </si>
  <si>
    <t>7.149B</t>
  </si>
  <si>
    <t>CIB</t>
  </si>
  <si>
    <t>Bancolombia S.A.</t>
  </si>
  <si>
    <t>8.697B</t>
  </si>
  <si>
    <t>FNMAM</t>
  </si>
  <si>
    <t>7.11B</t>
  </si>
  <si>
    <t>LMND</t>
  </si>
  <si>
    <t>Lemonade, Inc.</t>
  </si>
  <si>
    <t>8.686B</t>
  </si>
  <si>
    <t>CMA</t>
  </si>
  <si>
    <t>Comerica Incorporated</t>
  </si>
  <si>
    <t>8.651B</t>
  </si>
  <si>
    <t>RNR-PF</t>
  </si>
  <si>
    <t>RenaissanceRe Holdings Ltd.</t>
  </si>
  <si>
    <t>AEG</t>
  </si>
  <si>
    <t>Aegon N.V.</t>
  </si>
  <si>
    <t>8.626B</t>
  </si>
  <si>
    <t>SEIC</t>
  </si>
  <si>
    <t>SEI Investments Company</t>
  </si>
  <si>
    <t>8.587B</t>
  </si>
  <si>
    <t>SBNY</t>
  </si>
  <si>
    <t>Signature Bank</t>
  </si>
  <si>
    <t>8.586B</t>
  </si>
  <si>
    <t>FNMAK</t>
  </si>
  <si>
    <t>6.656B</t>
  </si>
  <si>
    <t>VOYA-PB</t>
  </si>
  <si>
    <t>Voya Financial, Inc.</t>
  </si>
  <si>
    <t>8.508B</t>
  </si>
  <si>
    <t>CRZBF</t>
  </si>
  <si>
    <t>FNMAL</t>
  </si>
  <si>
    <t>6.472B</t>
  </si>
  <si>
    <t>ATH</t>
  </si>
  <si>
    <t>8.288B</t>
  </si>
  <si>
    <t>Y</t>
  </si>
  <si>
    <t>Alleghany Corporation</t>
  </si>
  <si>
    <t>8.272B</t>
  </si>
  <si>
    <t>EV</t>
  </si>
  <si>
    <t>Eaton Vance Corp.</t>
  </si>
  <si>
    <t>8.173B</t>
  </si>
  <si>
    <t>SPXCF</t>
  </si>
  <si>
    <t>Singapore Exchange Limited</t>
  </si>
  <si>
    <t>8.138B</t>
  </si>
  <si>
    <t>CBSH</t>
  </si>
  <si>
    <t>Commerce Bancshares, Inc.</t>
  </si>
  <si>
    <t>8.127B</t>
  </si>
  <si>
    <t>RNR-PE</t>
  </si>
  <si>
    <t>8.107B</t>
  </si>
  <si>
    <t>BKKLY</t>
  </si>
  <si>
    <t>Bangkok Bank Public Company Limited</t>
  </si>
  <si>
    <t>7.773B</t>
  </si>
  <si>
    <t>FHN</t>
  </si>
  <si>
    <t>First Horizon Corporation</t>
  </si>
  <si>
    <t>8.078B</t>
  </si>
  <si>
    <t>FNMAO</t>
  </si>
  <si>
    <t>6.459B</t>
  </si>
  <si>
    <t>AIZ</t>
  </si>
  <si>
    <t>Assurant, Inc.</t>
  </si>
  <si>
    <t>7.927B</t>
  </si>
  <si>
    <t>ZION</t>
  </si>
  <si>
    <t>Zions Bancorporation, National Association</t>
  </si>
  <si>
    <t>7.896B</t>
  </si>
  <si>
    <t>BLHEY</t>
  </si>
  <si>
    <t>Bâloise Holding AG</t>
  </si>
  <si>
    <t>7.853B</t>
  </si>
  <si>
    <t>MDIBY</t>
  </si>
  <si>
    <t>Mediobanca Banca di Credito Finanziario S.p.A.</t>
  </si>
  <si>
    <t>7.759B</t>
  </si>
  <si>
    <t>FNMAT</t>
  </si>
  <si>
    <t>6.749B</t>
  </si>
  <si>
    <t>AIZP</t>
  </si>
  <si>
    <t>7.486B</t>
  </si>
  <si>
    <t>RGA</t>
  </si>
  <si>
    <t>Reinsurance Group of America, Incorporated</t>
  </si>
  <si>
    <t>7.485B</t>
  </si>
  <si>
    <t>SLLDY</t>
  </si>
  <si>
    <t>Sanlam Limited</t>
  </si>
  <si>
    <t>7.607B</t>
  </si>
  <si>
    <t>DSEEY</t>
  </si>
  <si>
    <t>Daiwa Securities Group Inc.</t>
  </si>
  <si>
    <t>7.334B</t>
  </si>
  <si>
    <t>RNR</t>
  </si>
  <si>
    <t>7.878B</t>
  </si>
  <si>
    <t xml:space="preserve">Utilities </t>
  </si>
  <si>
    <t xml:space="preserve">  Utilities mean useful features, or something useful to the home such as electricity, gas, water, cable and telephone.</t>
  </si>
  <si>
    <t>NextEra Energy, Inc.</t>
  </si>
  <si>
    <t>164.973B</t>
  </si>
  <si>
    <t>DUK-PA</t>
  </si>
  <si>
    <t>Duke Energy Corporation</t>
  </si>
  <si>
    <t>69.421B</t>
  </si>
  <si>
    <t>The Southern Company</t>
  </si>
  <si>
    <t>63.522B</t>
  </si>
  <si>
    <t>ENB</t>
  </si>
  <si>
    <t>Enbridge</t>
  </si>
  <si>
    <t>67.01B</t>
  </si>
  <si>
    <t>D</t>
  </si>
  <si>
    <t>Dominion Energy, Inc.</t>
  </si>
  <si>
    <t>58.976B</t>
  </si>
  <si>
    <t>EPD</t>
  </si>
  <si>
    <t xml:space="preserve">Enterprise Products Partners L.P. </t>
  </si>
  <si>
    <t>53.34B</t>
  </si>
  <si>
    <t>EXC</t>
  </si>
  <si>
    <t>Exelon Corporation</t>
  </si>
  <si>
    <t>41.501B</t>
  </si>
  <si>
    <t>AEP</t>
  </si>
  <si>
    <t>American Electric Power Company, Inc.</t>
  </si>
  <si>
    <t>40.744B</t>
  </si>
  <si>
    <t>KMI</t>
  </si>
  <si>
    <t>Kinder Morgan</t>
  </si>
  <si>
    <t>45.01B</t>
  </si>
  <si>
    <t>SRE</t>
  </si>
  <si>
    <t>Sempra Energy</t>
  </si>
  <si>
    <t>35.035B</t>
  </si>
  <si>
    <t>XEL</t>
  </si>
  <si>
    <t>Xcel Energy Inc.</t>
  </si>
  <si>
    <t>34.796B</t>
  </si>
  <si>
    <t>ES</t>
  </si>
  <si>
    <t>Eversource Energy</t>
  </si>
  <si>
    <t>29.966B</t>
  </si>
  <si>
    <t>Public Service Enterprise Group Incorporated</t>
  </si>
  <si>
    <t>29.521B</t>
  </si>
  <si>
    <t>AWK</t>
  </si>
  <si>
    <t>American Water Works Company, Inc.</t>
  </si>
  <si>
    <t>29.168B</t>
  </si>
  <si>
    <t>WEC</t>
  </si>
  <si>
    <t>WEC Energy Group, Inc.</t>
  </si>
  <si>
    <t>27.563B</t>
  </si>
  <si>
    <t>PCG</t>
  </si>
  <si>
    <t>PG&amp;E Corporation</t>
  </si>
  <si>
    <t>23.259B</t>
  </si>
  <si>
    <t>ED</t>
  </si>
  <si>
    <t>Consolidated Edison, Inc.</t>
  </si>
  <si>
    <t>23.052B</t>
  </si>
  <si>
    <t>EIX</t>
  </si>
  <si>
    <t>Edison International</t>
  </si>
  <si>
    <t>22.446B</t>
  </si>
  <si>
    <t>DTE</t>
  </si>
  <si>
    <t>DTE Energy company</t>
  </si>
  <si>
    <t>22.40B</t>
  </si>
  <si>
    <t>PPL</t>
  </si>
  <si>
    <t>PPL Corporation</t>
  </si>
  <si>
    <t>21.389B</t>
  </si>
  <si>
    <t>ETR</t>
  </si>
  <si>
    <t>Entergy Corporation</t>
  </si>
  <si>
    <t>18.816B</t>
  </si>
  <si>
    <t>AES</t>
  </si>
  <si>
    <t>The AES Corporation</t>
  </si>
  <si>
    <t>18.025B</t>
  </si>
  <si>
    <t>AEE</t>
  </si>
  <si>
    <t>Ameren Corporation</t>
  </si>
  <si>
    <t>18.016B</t>
  </si>
  <si>
    <t>FE</t>
  </si>
  <si>
    <t>FirstEnergy Corp.</t>
  </si>
  <si>
    <t>16.967B</t>
  </si>
  <si>
    <t>CMS</t>
  </si>
  <si>
    <t>CMS Energy Corporation</t>
  </si>
  <si>
    <t>16.725B</t>
  </si>
  <si>
    <t>BIP</t>
  </si>
  <si>
    <t>Brookfield Infrastructure Partners L.P.</t>
  </si>
  <si>
    <t>15.741B</t>
  </si>
  <si>
    <t>AGR</t>
  </si>
  <si>
    <t>Avangrid, Inc.</t>
  </si>
  <si>
    <t>14.335B</t>
  </si>
  <si>
    <t>Brookfield Renewable Partners L.P.</t>
  </si>
  <si>
    <t>13.621B</t>
  </si>
  <si>
    <t>LNT</t>
  </si>
  <si>
    <t>Alliant Energy Corporation</t>
  </si>
  <si>
    <t>12.341B</t>
  </si>
  <si>
    <t>EVRG</t>
  </si>
  <si>
    <t>Evergy, Inc.</t>
  </si>
  <si>
    <t>12.204B</t>
  </si>
  <si>
    <t>NI-PB</t>
  </si>
  <si>
    <t>NiSource Inc.</t>
  </si>
  <si>
    <t>11.716B</t>
  </si>
  <si>
    <t>CNP</t>
  </si>
  <si>
    <t>CenterPoint Energy, Inc.</t>
  </si>
  <si>
    <t>11.681B</t>
  </si>
  <si>
    <t>ATO</t>
  </si>
  <si>
    <t>Atmos Energy Corporation</t>
  </si>
  <si>
    <t>11.229B</t>
  </si>
  <si>
    <t>WTRG</t>
  </si>
  <si>
    <t>Essential Utilities, Inc.</t>
  </si>
  <si>
    <t>11.15B</t>
  </si>
  <si>
    <t>UEPEO</t>
  </si>
  <si>
    <t>Union Electric Company</t>
  </si>
  <si>
    <t>10.646B</t>
  </si>
  <si>
    <t>VST</t>
  </si>
  <si>
    <t>Vistra Corp.</t>
  </si>
  <si>
    <t>10.438B</t>
  </si>
  <si>
    <t>UEPEM</t>
  </si>
  <si>
    <t>10.212B</t>
  </si>
  <si>
    <t>NRG</t>
  </si>
  <si>
    <t>NRG Energy, Inc.</t>
  </si>
  <si>
    <t>10.142B</t>
  </si>
  <si>
    <t>PNW</t>
  </si>
  <si>
    <t>Pinnacle West Capital Corporation</t>
  </si>
  <si>
    <t>8.68B</t>
  </si>
  <si>
    <t>NFE</t>
  </si>
  <si>
    <t>New Fortress Energy Inc.</t>
  </si>
  <si>
    <t>8.062B</t>
  </si>
  <si>
    <t>UGI</t>
  </si>
  <si>
    <t>UGI Corporation</t>
  </si>
  <si>
    <t>7.749B</t>
  </si>
  <si>
    <t>CWEN</t>
  </si>
  <si>
    <t>Clearway Energy, Inc.</t>
  </si>
  <si>
    <t>6.706B</t>
  </si>
  <si>
    <t>OGE</t>
  </si>
  <si>
    <t>OGE Energy Corp.</t>
  </si>
  <si>
    <t>6.273B</t>
  </si>
  <si>
    <t>NextEra Energy Partners, LP</t>
  </si>
  <si>
    <t>6.204B</t>
  </si>
  <si>
    <t>ORA</t>
  </si>
  <si>
    <t>Ormat Technologies, Inc.</t>
  </si>
  <si>
    <t>5.95B</t>
  </si>
  <si>
    <t>IDA</t>
  </si>
  <si>
    <t>IDACORP, Inc.</t>
  </si>
  <si>
    <t>4.461B</t>
  </si>
  <si>
    <t>PNM</t>
  </si>
  <si>
    <t>PNM Resources, Inc.</t>
  </si>
  <si>
    <t>4.175B</t>
  </si>
  <si>
    <t>HE</t>
  </si>
  <si>
    <t>Hawaiian Electric Industries, Inc.</t>
  </si>
  <si>
    <t>3.767B</t>
  </si>
  <si>
    <t>OGS</t>
  </si>
  <si>
    <t>ONE Gas, Inc.</t>
  </si>
  <si>
    <t>3.759B</t>
  </si>
  <si>
    <t>POR</t>
  </si>
  <si>
    <t>Portland General Electric Company</t>
  </si>
  <si>
    <t>3.741B</t>
  </si>
  <si>
    <t>BKH</t>
  </si>
  <si>
    <t>Black Hills Corporation</t>
  </si>
  <si>
    <t>3.712B</t>
  </si>
  <si>
    <t>ALE</t>
  </si>
  <si>
    <t>ALLETE, Inc.</t>
  </si>
  <si>
    <t>3.415B</t>
  </si>
  <si>
    <t>NJR</t>
  </si>
  <si>
    <t>New Jersey Resources Corporation</t>
  </si>
  <si>
    <t>3.406B</t>
  </si>
  <si>
    <t>SWX</t>
  </si>
  <si>
    <t>Southwest Gas Holdings, Inc.</t>
  </si>
  <si>
    <t>3.331B</t>
  </si>
  <si>
    <t>ALP-PQ</t>
  </si>
  <si>
    <t>Alabama Power Company</t>
  </si>
  <si>
    <t>3.206B</t>
  </si>
  <si>
    <t>SR</t>
  </si>
  <si>
    <t>Spire Inc.</t>
  </si>
  <si>
    <t>3.19B</t>
  </si>
  <si>
    <t>AWR</t>
  </si>
  <si>
    <t>American States Water Company</t>
  </si>
  <si>
    <t>2.97B</t>
  </si>
  <si>
    <t>NWE</t>
  </si>
  <si>
    <t>NorthWestern Corporation</t>
  </si>
  <si>
    <t>2.804B</t>
  </si>
  <si>
    <t>CWT</t>
  </si>
  <si>
    <t>California Water Service Group</t>
  </si>
  <si>
    <t>2.708B</t>
  </si>
  <si>
    <t>AVA</t>
  </si>
  <si>
    <t>Avista Corporation</t>
  </si>
  <si>
    <t>2.657B</t>
  </si>
  <si>
    <t>TAC</t>
  </si>
  <si>
    <t>TransAlta Corporation</t>
  </si>
  <si>
    <t>2.447B</t>
  </si>
  <si>
    <t>SJI</t>
  </si>
  <si>
    <t>South Jersey Industries, Inc.</t>
  </si>
  <si>
    <t>2.177B</t>
  </si>
  <si>
    <t xml:space="preserve">The Agriculture, Forestry, Fishing and Hunting </t>
  </si>
  <si>
    <t>The Agriculture, Forestry, Fishing and Hunting sector comprises establishments primarily engaged in growing crops, raising animals, harvesting timber, and harvesting fish and other animals from a farm, ranch, or their natural habitats</t>
  </si>
  <si>
    <t>Symbol</t>
  </si>
  <si>
    <t>Name</t>
  </si>
  <si>
    <t>Market Cap</t>
  </si>
  <si>
    <t>CTA-PA</t>
  </si>
  <si>
    <t>E. I. du Pont de Nemours and Company</t>
  </si>
  <si>
    <t>76.775B</t>
  </si>
  <si>
    <t>CTVA</t>
  </si>
  <si>
    <t>Corteva, Inc.</t>
  </si>
  <si>
    <t>32.288B</t>
  </si>
  <si>
    <t>NTR</t>
  </si>
  <si>
    <t>Nutrien Ltd.</t>
  </si>
  <si>
    <t>30.948B</t>
  </si>
  <si>
    <t>ADM</t>
  </si>
  <si>
    <t>Archer-Daniels-Midland Company</t>
  </si>
  <si>
    <t>30.297B</t>
  </si>
  <si>
    <t>WLMIF</t>
  </si>
  <si>
    <t>Wilmar International Limited</t>
  </si>
  <si>
    <t>25.711B</t>
  </si>
  <si>
    <t>TSN</t>
  </si>
  <si>
    <t>Tyson Foods, Inc.</t>
  </si>
  <si>
    <t>25.354B</t>
  </si>
  <si>
    <t>FMC</t>
  </si>
  <si>
    <t>FMC Corporation</t>
  </si>
  <si>
    <t>15.099B</t>
  </si>
  <si>
    <t>SVCBY</t>
  </si>
  <si>
    <t>Svenska Cellulosa Aktiebolaget SCA (publ)</t>
  </si>
  <si>
    <t>12.49B</t>
  </si>
  <si>
    <t>SMG</t>
  </si>
  <si>
    <t>The Scotts Miracle-Gro Company</t>
  </si>
  <si>
    <t>13.395B</t>
  </si>
  <si>
    <t>YARIY</t>
  </si>
  <si>
    <t>Yara International ASA</t>
  </si>
  <si>
    <t>12.719B</t>
  </si>
  <si>
    <t>MNHVF</t>
  </si>
  <si>
    <t>Mowi ASA</t>
  </si>
  <si>
    <t>11.695B</t>
  </si>
  <si>
    <t>MOS</t>
  </si>
  <si>
    <t>The Mosaic Company</t>
  </si>
  <si>
    <t>10.607B</t>
  </si>
  <si>
    <t>BG</t>
  </si>
  <si>
    <t>Bunge Limited</t>
  </si>
  <si>
    <t>10.535B</t>
  </si>
  <si>
    <t>CF</t>
  </si>
  <si>
    <t>CF Industries Holdings, Inc.</t>
  </si>
  <si>
    <t>9.41B</t>
  </si>
  <si>
    <t>BGEPF</t>
  </si>
  <si>
    <t>9.19B</t>
  </si>
  <si>
    <t>WFG</t>
  </si>
  <si>
    <t>West Fraser Timber Co. Ltd.</t>
  </si>
  <si>
    <t>8.552B</t>
  </si>
  <si>
    <t>CHPFF</t>
  </si>
  <si>
    <t>Charoen Pokphand Foods Public Company Limited</t>
  </si>
  <si>
    <t>7.158B</t>
  </si>
  <si>
    <t>SALRF</t>
  </si>
  <si>
    <t>SalMar ASA</t>
  </si>
  <si>
    <t>7.008B</t>
  </si>
  <si>
    <t>ICL</t>
  </si>
  <si>
    <t>ICL Group Ltd</t>
  </si>
  <si>
    <t>7.088B</t>
  </si>
  <si>
    <t>SALRY</t>
  </si>
  <si>
    <t>7.062B</t>
  </si>
  <si>
    <t>PHOJY</t>
  </si>
  <si>
    <t>Public Joint-Stock Company PhosAgro</t>
  </si>
  <si>
    <t>6.31B</t>
  </si>
  <si>
    <t>ACOPY</t>
  </si>
  <si>
    <t>The a2 Milk Company Limited</t>
  </si>
  <si>
    <t>5.891B</t>
  </si>
  <si>
    <t>BKFKF</t>
  </si>
  <si>
    <t>P/F Bakkafrost</t>
  </si>
  <si>
    <t>4.247B</t>
  </si>
  <si>
    <t>CPKPF</t>
  </si>
  <si>
    <t>C.P. Pokphand Co. Ltd.</t>
  </si>
  <si>
    <t>3.329B</t>
  </si>
  <si>
    <t>UFPI</t>
  </si>
  <si>
    <t>UFP Industries, Inc.</t>
  </si>
  <si>
    <t>3.819B</t>
  </si>
  <si>
    <t>APPH</t>
  </si>
  <si>
    <t>AppHarvest, Inc.</t>
  </si>
  <si>
    <t>3.742B</t>
  </si>
  <si>
    <t>CPKPY</t>
  </si>
  <si>
    <t>2.746B</t>
  </si>
  <si>
    <t>ITRO</t>
  </si>
  <si>
    <t>Itronics Inc.</t>
  </si>
  <si>
    <t>2.607B</t>
  </si>
  <si>
    <t>CFPZF</t>
  </si>
  <si>
    <t>Canfor Corporation</t>
  </si>
  <si>
    <t>2.589B</t>
  </si>
  <si>
    <t>KPLUY</t>
  </si>
  <si>
    <t>K+S Aktiengesellschaft</t>
  </si>
  <si>
    <t>IBA</t>
  </si>
  <si>
    <t>Industrias Bachoco, S.A.B. de C.V.</t>
  </si>
  <si>
    <t>2.126B</t>
  </si>
  <si>
    <t>EVA</t>
  </si>
  <si>
    <t>Enviva Partners, LP</t>
  </si>
  <si>
    <t>2.124B</t>
  </si>
  <si>
    <t xml:space="preserve">The Health Care and Social Assistance </t>
  </si>
  <si>
    <t>The Health Care and Social Assistance sector comprises establishments providing health care and social assistance for individuals. ... All industries in the sector share this commonality of process, namely, labor inputs of health practitioners or social workers with the requisite expertise. The Health Care and Social Assistance sector comprises establishments providing health care and social assistance for individuals. The sector includes both health care and social assistance because it is sometimes difficult to distinguish between the boundaries of these two activities. The industries in this sector are arranged on a continuum starting with those establishments providing medical care exclusively, continuing with those providing health care and social assistance, and finally finishing with those providing only social assistance. The services provided by establishments in this sector are delivered by trained professionals. All industries in the sector share this commonality of process, namely, labor inputs of health practitioners or social workers with the requisite expertise. Many of the industries in the sector are defined based on the educational degree held by the practitioners included in the industry.</t>
  </si>
  <si>
    <t>JNJ</t>
  </si>
  <si>
    <t>Johnson &amp; Johnson</t>
  </si>
  <si>
    <t>437.712B</t>
  </si>
  <si>
    <t>UNH</t>
  </si>
  <si>
    <t>UnitedHealth Group Incorporated</t>
  </si>
  <si>
    <t>312.76B</t>
  </si>
  <si>
    <t>RHHBF</t>
  </si>
  <si>
    <t>Roche Holding AG</t>
  </si>
  <si>
    <t>297.06B</t>
  </si>
  <si>
    <t>ABT</t>
  </si>
  <si>
    <t>Abbott Laboratories</t>
  </si>
  <si>
    <t>221.811B</t>
  </si>
  <si>
    <t>NVS</t>
  </si>
  <si>
    <t>Novartis AG</t>
  </si>
  <si>
    <t>206.405B</t>
  </si>
  <si>
    <t>PFE</t>
  </si>
  <si>
    <t>Pfizer Inc.</t>
  </si>
  <si>
    <t>194.377B</t>
  </si>
  <si>
    <t>TMO</t>
  </si>
  <si>
    <t>Thermo Fisher Scientific Inc.</t>
  </si>
  <si>
    <t>193.927B</t>
  </si>
  <si>
    <t>LLY</t>
  </si>
  <si>
    <t>Eli Lilly and Company</t>
  </si>
  <si>
    <t>192.952B</t>
  </si>
  <si>
    <t>MRK</t>
  </si>
  <si>
    <t>Merck &amp; Co., Inc.</t>
  </si>
  <si>
    <t>189.853B</t>
  </si>
  <si>
    <t>ABBV</t>
  </si>
  <si>
    <t>AbbVie Inc.</t>
  </si>
  <si>
    <t>186.081B</t>
  </si>
  <si>
    <t>DHR</t>
  </si>
  <si>
    <t>Danaher Corporation</t>
  </si>
  <si>
    <t>168.507B</t>
  </si>
  <si>
    <t>NVO</t>
  </si>
  <si>
    <t>Novo Nordisk A/S</t>
  </si>
  <si>
    <t>163.98B</t>
  </si>
  <si>
    <t>MDT</t>
  </si>
  <si>
    <t>Medtronic plc</t>
  </si>
  <si>
    <t>158.669B</t>
  </si>
  <si>
    <t>DHR-PA</t>
  </si>
  <si>
    <t>148.795B</t>
  </si>
  <si>
    <t>AMGN</t>
  </si>
  <si>
    <t>Amgen Inc.</t>
  </si>
  <si>
    <t>136.784B</t>
  </si>
  <si>
    <t>BMY</t>
  </si>
  <si>
    <t>Bristol-Myers Squibb Company</t>
  </si>
  <si>
    <t>135.043B</t>
  </si>
  <si>
    <t>AZN</t>
  </si>
  <si>
    <t>AstraZeneca PLC</t>
  </si>
  <si>
    <t>132.356B</t>
  </si>
  <si>
    <t>SNY</t>
  </si>
  <si>
    <t>Sanofi</t>
  </si>
  <si>
    <t>122.839B</t>
  </si>
  <si>
    <t>CVS</t>
  </si>
  <si>
    <t>CVS Health Corporation</t>
  </si>
  <si>
    <t>96.192B</t>
  </si>
  <si>
    <t>CSLLY</t>
  </si>
  <si>
    <t>CSL Limited</t>
  </si>
  <si>
    <t>96.092B</t>
  </si>
  <si>
    <t>ISRG</t>
  </si>
  <si>
    <t>Intuitive Surgical, Inc.</t>
  </si>
  <si>
    <t>91.616B</t>
  </si>
  <si>
    <t>SYK</t>
  </si>
  <si>
    <t>Stryker Corporation</t>
  </si>
  <si>
    <t>90.998B</t>
  </si>
  <si>
    <t>GSK</t>
  </si>
  <si>
    <t>GlaxoSmithKline plc</t>
  </si>
  <si>
    <t>88.488B</t>
  </si>
  <si>
    <t>GILD</t>
  </si>
  <si>
    <t>Gilead Sciences, Inc.</t>
  </si>
  <si>
    <t>84.363B</t>
  </si>
  <si>
    <t>CHGCY</t>
  </si>
  <si>
    <t>Chugai Pharmaceutical Co., Ltd.</t>
  </si>
  <si>
    <t>82.421B</t>
  </si>
  <si>
    <t>ZTS</t>
  </si>
  <si>
    <t>Zoetis Inc.</t>
  </si>
  <si>
    <t>75.962B</t>
  </si>
  <si>
    <t>ANTM</t>
  </si>
  <si>
    <t>Anthem, Inc.</t>
  </si>
  <si>
    <t>74.288B</t>
  </si>
  <si>
    <t>MKGAF</t>
  </si>
  <si>
    <t>MERCK Kommanditgesellschaft auf Aktien</t>
  </si>
  <si>
    <t>74.542B</t>
  </si>
  <si>
    <t>CI</t>
  </si>
  <si>
    <t>Cigna Corporation</t>
  </si>
  <si>
    <t>73.967B</t>
  </si>
  <si>
    <t>BDX</t>
  </si>
  <si>
    <t>Becton, Dickinson and Company</t>
  </si>
  <si>
    <t>73.852B</t>
  </si>
  <si>
    <t>WXIBF</t>
  </si>
  <si>
    <t>WuXi Biologics (Cayman) Inc.</t>
  </si>
  <si>
    <t>69.088B</t>
  </si>
  <si>
    <t>MRNA</t>
  </si>
  <si>
    <t>Moderna, Inc.</t>
  </si>
  <si>
    <t>71.038B</t>
  </si>
  <si>
    <t>ESLOY</t>
  </si>
  <si>
    <t>EssilorLuxottica Société anonyme</t>
  </si>
  <si>
    <t>70.672B</t>
  </si>
  <si>
    <t>ILMN</t>
  </si>
  <si>
    <t>Illumina, Inc.</t>
  </si>
  <si>
    <t>66.138B</t>
  </si>
  <si>
    <t>BAYRY</t>
  </si>
  <si>
    <t>Bayer Aktiengesellschaft</t>
  </si>
  <si>
    <t>65.635B</t>
  </si>
  <si>
    <t>SMMNY</t>
  </si>
  <si>
    <t>Siemens Healthineers AG</t>
  </si>
  <si>
    <t>63.343B</t>
  </si>
  <si>
    <t>HCA</t>
  </si>
  <si>
    <t>HCA Healthcare, Inc.</t>
  </si>
  <si>
    <t>59.358B</t>
  </si>
  <si>
    <t>DSKYF</t>
  </si>
  <si>
    <t>Daiichi Sankyo Company, Limited</t>
  </si>
  <si>
    <t>58.933B</t>
  </si>
  <si>
    <t>MTHRY</t>
  </si>
  <si>
    <t>M3, Inc.</t>
  </si>
  <si>
    <t>56.186B</t>
  </si>
  <si>
    <t>TAK</t>
  </si>
  <si>
    <t>Takeda Pharmaceutical Company Limited</t>
  </si>
  <si>
    <t>54.947B</t>
  </si>
  <si>
    <t>VRTX</t>
  </si>
  <si>
    <t>Vertex Pharmaceuticals Incorporated</t>
  </si>
  <si>
    <t>55.601B</t>
  </si>
  <si>
    <t>BSX</t>
  </si>
  <si>
    <t>Boston Scientific Corporation</t>
  </si>
  <si>
    <t>55.587B</t>
  </si>
  <si>
    <t>EW</t>
  </si>
  <si>
    <t>Edwards Lifesciences Corporation</t>
  </si>
  <si>
    <t>53.475B</t>
  </si>
  <si>
    <t>REGN</t>
  </si>
  <si>
    <t>Regeneron Pharmaceuticals, Inc.</t>
  </si>
  <si>
    <t>52.568B</t>
  </si>
  <si>
    <t>PHG</t>
  </si>
  <si>
    <t>Koninklijke Philips N.V.</t>
  </si>
  <si>
    <t>51.618B</t>
  </si>
  <si>
    <t>HUM</t>
  </si>
  <si>
    <t>Humana Inc.</t>
  </si>
  <si>
    <t>49.301B</t>
  </si>
  <si>
    <t>LZAGY</t>
  </si>
  <si>
    <t>Lonza Group Ltd</t>
  </si>
  <si>
    <t>48.563B</t>
  </si>
  <si>
    <t>ALGN</t>
  </si>
  <si>
    <t>Align Technology, Inc.</t>
  </si>
  <si>
    <t>48.493B</t>
  </si>
  <si>
    <t>HOCPF</t>
  </si>
  <si>
    <t>HOYA Corporation</t>
  </si>
  <si>
    <t>47.144B</t>
  </si>
  <si>
    <t>VEEV</t>
  </si>
  <si>
    <t>Veeva Systems Inc.</t>
  </si>
  <si>
    <t>46.112B</t>
  </si>
  <si>
    <t>SDMHF</t>
  </si>
  <si>
    <t>Sartorius Stedim Biotech S.A.</t>
  </si>
  <si>
    <t>42.622B</t>
  </si>
  <si>
    <t>45.708B</t>
  </si>
  <si>
    <t>43.202B</t>
  </si>
  <si>
    <t>IDXX</t>
  </si>
  <si>
    <t>IDEXX Laboratories, Inc.</t>
  </si>
  <si>
    <t>43.081B</t>
  </si>
  <si>
    <t>TDOC</t>
  </si>
  <si>
    <t>Teladoc Health, Inc.</t>
  </si>
  <si>
    <t>41.821B</t>
  </si>
  <si>
    <t>BIIB</t>
  </si>
  <si>
    <t>Biogen Inc.</t>
  </si>
  <si>
    <t>41.026B</t>
  </si>
  <si>
    <t>BAX</t>
  </si>
  <si>
    <t>Baxter International Inc.</t>
  </si>
  <si>
    <t>39.328B</t>
  </si>
  <si>
    <t>DXCM</t>
  </si>
  <si>
    <t>DexCom, Inc.</t>
  </si>
  <si>
    <t>38.51B</t>
  </si>
  <si>
    <t>A</t>
  </si>
  <si>
    <t>Agilent Technologies, Inc.</t>
  </si>
  <si>
    <t>37.636B</t>
  </si>
  <si>
    <t>ALC</t>
  </si>
  <si>
    <t>Alcon Inc.</t>
  </si>
  <si>
    <t>36.638B</t>
  </si>
  <si>
    <t>IQV</t>
  </si>
  <si>
    <t>IQVIA Holdings Inc.</t>
  </si>
  <si>
    <t>35.243B</t>
  </si>
  <si>
    <t>CNC</t>
  </si>
  <si>
    <t>Centene Corporation</t>
  </si>
  <si>
    <t>34.944B</t>
  </si>
  <si>
    <t>CLPBY</t>
  </si>
  <si>
    <t>Coloplast A/S</t>
  </si>
  <si>
    <t>34.699B</t>
  </si>
  <si>
    <t>ALXN</t>
  </si>
  <si>
    <t>Alexion Pharmaceuticals, Inc.</t>
  </si>
  <si>
    <t>34.115B</t>
  </si>
  <si>
    <t>BGNE</t>
  </si>
  <si>
    <t>BeiGene, Ltd.</t>
  </si>
  <si>
    <t>34.589B</t>
  </si>
  <si>
    <t>ZBH</t>
  </si>
  <si>
    <t>Zimmer Biomet Holdings, Inc.</t>
  </si>
  <si>
    <t>32.988B</t>
  </si>
  <si>
    <t>TRUMY</t>
  </si>
  <si>
    <t>Terumo Corporation</t>
  </si>
  <si>
    <t>32.725B</t>
  </si>
  <si>
    <t>ALPMF</t>
  </si>
  <si>
    <t>Astellas Pharma Inc.</t>
  </si>
  <si>
    <t>32.973B</t>
  </si>
  <si>
    <t>SGEN</t>
  </si>
  <si>
    <t>Seagen Inc.</t>
  </si>
  <si>
    <t>31.455B</t>
  </si>
  <si>
    <t>RPRX</t>
  </si>
  <si>
    <t>Royalty Pharma plc</t>
  </si>
  <si>
    <t>30.474B</t>
  </si>
  <si>
    <t>MCK</t>
  </si>
  <si>
    <t>McKesson Corporation</t>
  </si>
  <si>
    <t>29.443B</t>
  </si>
  <si>
    <t>RMD</t>
  </si>
  <si>
    <t>ResMed Inc.</t>
  </si>
  <si>
    <t>29.081B</t>
  </si>
  <si>
    <t>MTD</t>
  </si>
  <si>
    <t>Mettler-Toledo International Inc.</t>
  </si>
  <si>
    <t>28.708B</t>
  </si>
  <si>
    <t>BNTX</t>
  </si>
  <si>
    <t>BioNTech SE</t>
  </si>
  <si>
    <t>28.3B</t>
  </si>
  <si>
    <t>FSNUY</t>
  </si>
  <si>
    <t>Fresenius SE &amp; Co. KGaA</t>
  </si>
  <si>
    <t>27.934B</t>
  </si>
  <si>
    <t>GMAB</t>
  </si>
  <si>
    <t>Genmab A/S</t>
  </si>
  <si>
    <t>26.75B</t>
  </si>
  <si>
    <t>EXAS</t>
  </si>
  <si>
    <t>Exact Sciences Corporation</t>
  </si>
  <si>
    <t>25.614B</t>
  </si>
  <si>
    <t>OCPNY</t>
  </si>
  <si>
    <t>Olympus Corporation</t>
  </si>
  <si>
    <t>25.142B</t>
  </si>
  <si>
    <t>CERN</t>
  </si>
  <si>
    <t>Cerner Corporation</t>
  </si>
  <si>
    <t>24.227B</t>
  </si>
  <si>
    <t>OTSKY</t>
  </si>
  <si>
    <t>Otsuka Holdings Co., Ltd.</t>
  </si>
  <si>
    <t>24.064B</t>
  </si>
  <si>
    <t>SSMXY</t>
  </si>
  <si>
    <t>Sysmex Corporation</t>
  </si>
  <si>
    <t>23.944B</t>
  </si>
  <si>
    <t>VTRS</t>
  </si>
  <si>
    <t>Viatris Inc.</t>
  </si>
  <si>
    <t>22.448B</t>
  </si>
  <si>
    <t>GDRX</t>
  </si>
  <si>
    <t>GoodRx Holdings, Inc.</t>
  </si>
  <si>
    <t>22.182B</t>
  </si>
  <si>
    <t>LH</t>
  </si>
  <si>
    <t>Laboratory Corporation of America Holdings</t>
  </si>
  <si>
    <t>22.088B</t>
  </si>
  <si>
    <t>ABC</t>
  </si>
  <si>
    <t>AmerisourceBergen Corporation</t>
  </si>
  <si>
    <t>21.992B</t>
  </si>
  <si>
    <t>ESALF</t>
  </si>
  <si>
    <t>Eisai Co., Ltd.</t>
  </si>
  <si>
    <t>22.075B</t>
  </si>
  <si>
    <t>WST</t>
  </si>
  <si>
    <t>West Pharmaceutical Services, Inc.</t>
  </si>
  <si>
    <t>21.431B</t>
  </si>
  <si>
    <t>ESALY</t>
  </si>
  <si>
    <t>21.313B</t>
  </si>
  <si>
    <t>CVAC</t>
  </si>
  <si>
    <t>CureVac N.V.</t>
  </si>
  <si>
    <t>21.37B</t>
  </si>
  <si>
    <t>NVAX</t>
  </si>
  <si>
    <t>Novavax, Inc.</t>
  </si>
  <si>
    <t>21.245B</t>
  </si>
  <si>
    <t>HOLX</t>
  </si>
  <si>
    <t>Hologic, Inc.</t>
  </si>
  <si>
    <t>20.909B</t>
  </si>
  <si>
    <t>FMS</t>
  </si>
  <si>
    <t>Fresenius Medical Care AG &amp; Co. KGaA</t>
  </si>
  <si>
    <t>20.162B</t>
  </si>
  <si>
    <t>UCBJY</t>
  </si>
  <si>
    <t>UCB SA</t>
  </si>
  <si>
    <t>20.37B</t>
  </si>
  <si>
    <t>BIO-B</t>
  </si>
  <si>
    <t>Bio-Rad Laboratories, Inc.</t>
  </si>
  <si>
    <t>18.786B</t>
  </si>
  <si>
    <t>TXG</t>
  </si>
  <si>
    <t>10x Genomics, Inc.</t>
  </si>
  <si>
    <t>19.668B</t>
  </si>
  <si>
    <t>SAUHY</t>
  </si>
  <si>
    <t>Straumann Holding AG</t>
  </si>
  <si>
    <t>19.824B</t>
  </si>
  <si>
    <t>INCY</t>
  </si>
  <si>
    <t>Incyte Corporation</t>
  </si>
  <si>
    <t>19.591B</t>
  </si>
  <si>
    <t>ALNY</t>
  </si>
  <si>
    <t>Alnylam Pharmaceuticals, Inc.</t>
  </si>
  <si>
    <t>19.478B</t>
  </si>
  <si>
    <t>CTLT</t>
  </si>
  <si>
    <t>Catalent, Inc.</t>
  </si>
  <si>
    <t>19.435B</t>
  </si>
  <si>
    <t>HZNP</t>
  </si>
  <si>
    <t>Horizon Therapeutics Public Limited Company</t>
  </si>
  <si>
    <t>19.197B</t>
  </si>
  <si>
    <t>NVCR</t>
  </si>
  <si>
    <t>NovoCure Limited</t>
  </si>
  <si>
    <t>19.039B</t>
  </si>
  <si>
    <t>BIO</t>
  </si>
  <si>
    <t>19.019B</t>
  </si>
  <si>
    <t>SNN</t>
  </si>
  <si>
    <t>Smith &amp; Nephew plc</t>
  </si>
  <si>
    <t>18.573B</t>
  </si>
  <si>
    <t>COO</t>
  </si>
  <si>
    <t>The Cooper Companies, Inc.</t>
  </si>
  <si>
    <t>18.71B</t>
  </si>
  <si>
    <t>TFX</t>
  </si>
  <si>
    <t>Teleflex Incorporated</t>
  </si>
  <si>
    <t>18.64B</t>
  </si>
  <si>
    <t>SNNUF</t>
  </si>
  <si>
    <t>PODD</t>
  </si>
  <si>
    <t>Insulet Corporation</t>
  </si>
  <si>
    <t>18.594B</t>
  </si>
  <si>
    <t>ERFSF</t>
  </si>
  <si>
    <t>Eurofins Scientific SE</t>
  </si>
  <si>
    <t>17.715B</t>
  </si>
  <si>
    <t>CGC</t>
  </si>
  <si>
    <t>Canopy Growth Corporation</t>
  </si>
  <si>
    <t>18.261B</t>
  </si>
  <si>
    <t>SBHMY</t>
  </si>
  <si>
    <t>Sino Biopharmaceutical Limited</t>
  </si>
  <si>
    <t>18.222B</t>
  </si>
  <si>
    <t>SFOSF</t>
  </si>
  <si>
    <t>Shanghai Fosun Pharmaceutical (Group) Co., Ltd.</t>
  </si>
  <si>
    <t>16.781B</t>
  </si>
  <si>
    <t>ARGX</t>
  </si>
  <si>
    <t>argenx SE</t>
  </si>
  <si>
    <t>19.016B</t>
  </si>
  <si>
    <t>WAT</t>
  </si>
  <si>
    <t>Waters Corporation</t>
  </si>
  <si>
    <t>17.542B</t>
  </si>
  <si>
    <t>BMXMF</t>
  </si>
  <si>
    <t>bioMérieux S.A.</t>
  </si>
  <si>
    <t>17.452B</t>
  </si>
  <si>
    <t>SGIOF</t>
  </si>
  <si>
    <t>Shionogi &amp; Co., Ltd.</t>
  </si>
  <si>
    <t>17.67B</t>
  </si>
  <si>
    <t>GIFLF</t>
  </si>
  <si>
    <t>Grifols, S.A.</t>
  </si>
  <si>
    <t>16.817B</t>
  </si>
  <si>
    <t>SONVY</t>
  </si>
  <si>
    <t>Sonova Holding AG</t>
  </si>
  <si>
    <t>16.388B</t>
  </si>
  <si>
    <t>GH</t>
  </si>
  <si>
    <t>Guardant Health, Inc.</t>
  </si>
  <si>
    <t>16.329B</t>
  </si>
  <si>
    <t>PKI</t>
  </si>
  <si>
    <t>PerkinElmer, Inc.</t>
  </si>
  <si>
    <t>16.306B</t>
  </si>
  <si>
    <t>DGX</t>
  </si>
  <si>
    <t>Quest Diagnostics Incorporated</t>
  </si>
  <si>
    <t>16.198B</t>
  </si>
  <si>
    <t>VAR</t>
  </si>
  <si>
    <t>Varian Medical Systems, Inc.</t>
  </si>
  <si>
    <t>16.181B</t>
  </si>
  <si>
    <t>ZLAB</t>
  </si>
  <si>
    <t>Zai Lab Limited</t>
  </si>
  <si>
    <t>15.347B</t>
  </si>
  <si>
    <t>GIKLY</t>
  </si>
  <si>
    <t>15.655B</t>
  </si>
  <si>
    <t>STE</t>
  </si>
  <si>
    <t>STERIS plc</t>
  </si>
  <si>
    <t>15.6B</t>
  </si>
  <si>
    <t>BMRN</t>
  </si>
  <si>
    <t>BioMarin Pharmaceutical Inc.</t>
  </si>
  <si>
    <t>15.541B</t>
  </si>
  <si>
    <t>CAH</t>
  </si>
  <si>
    <t>Cardinal Health, Inc.</t>
  </si>
  <si>
    <t>15.55B</t>
  </si>
  <si>
    <t>GIFOF</t>
  </si>
  <si>
    <t>15.447B</t>
  </si>
  <si>
    <t>PANHF</t>
  </si>
  <si>
    <t>Ping An Healthcare and Technology Company Limited</t>
  </si>
  <si>
    <t>15.355B</t>
  </si>
  <si>
    <t>OPHLY</t>
  </si>
  <si>
    <t>Ono Pharmaceutical Co., Ltd.</t>
  </si>
  <si>
    <t>14.975B</t>
  </si>
  <si>
    <t>TECH</t>
  </si>
  <si>
    <t>Bio-Techne Corporation</t>
  </si>
  <si>
    <t>15.13B</t>
  </si>
  <si>
    <t>ABMD</t>
  </si>
  <si>
    <t>Abiomed, Inc.</t>
  </si>
  <si>
    <t>14.677B</t>
  </si>
  <si>
    <t>MASI</t>
  </si>
  <si>
    <t>Masimo Corporation</t>
  </si>
  <si>
    <t>14.662B</t>
  </si>
  <si>
    <t>CZMWY</t>
  </si>
  <si>
    <t>Carl Zeiss Meditec AG</t>
  </si>
  <si>
    <t>14.31B</t>
  </si>
  <si>
    <t>TEVA</t>
  </si>
  <si>
    <t>Teva Pharmaceutical Industries Limited</t>
  </si>
  <si>
    <t>13.658B</t>
  </si>
  <si>
    <t>CASBF</t>
  </si>
  <si>
    <t>CanSino Biologics Inc.</t>
  </si>
  <si>
    <t>13.274B</t>
  </si>
  <si>
    <t>OSH</t>
  </si>
  <si>
    <t>Oak Street Health, Inc.</t>
  </si>
  <si>
    <t>13.956B</t>
  </si>
  <si>
    <t>CRL</t>
  </si>
  <si>
    <t>Charles River Laboratories International, Inc.</t>
  </si>
  <si>
    <t>13.821B</t>
  </si>
  <si>
    <t>ELAN</t>
  </si>
  <si>
    <t>Elanco Animal Health Incorporated</t>
  </si>
  <si>
    <t>13.728B</t>
  </si>
  <si>
    <t>FSPKF</t>
  </si>
  <si>
    <t>Fisher &amp; Paykel Healthcare Corporation Limited</t>
  </si>
  <si>
    <t>13.533B</t>
  </si>
  <si>
    <t>AMBFF</t>
  </si>
  <si>
    <t>Ambu A/S</t>
  </si>
  <si>
    <t>13.541B</t>
  </si>
  <si>
    <t>SKHCF</t>
  </si>
  <si>
    <t>Sonic Healthcare Limited</t>
  </si>
  <si>
    <t>12.698B</t>
  </si>
  <si>
    <t>ABCL</t>
  </si>
  <si>
    <t>AbCellera Biologics Inc.</t>
  </si>
  <si>
    <t>12.652B</t>
  </si>
  <si>
    <t>CRSP</t>
  </si>
  <si>
    <t>CRISPR Therapeutics AG</t>
  </si>
  <si>
    <t>12.589B</t>
  </si>
  <si>
    <t>MCRPF</t>
  </si>
  <si>
    <t>MicroPort Scientific Corporation</t>
  </si>
  <si>
    <t>12.627B</t>
  </si>
  <si>
    <t>DVA</t>
  </si>
  <si>
    <t>DaVita Inc.</t>
  </si>
  <si>
    <t>12.432B</t>
  </si>
  <si>
    <t>QGEN</t>
  </si>
  <si>
    <t>QIAGEN N.V.</t>
  </si>
  <si>
    <t>12.366B</t>
  </si>
  <si>
    <t>PPD</t>
  </si>
  <si>
    <t>PPD, Inc.</t>
  </si>
  <si>
    <t>12.357B</t>
  </si>
  <si>
    <t>XRAY</t>
  </si>
  <si>
    <t>DENTSPLY SIRONA Inc.</t>
  </si>
  <si>
    <t>12.261B</t>
  </si>
  <si>
    <t>TGLVY</t>
  </si>
  <si>
    <t>Top Glove Corporation Bhd.</t>
  </si>
  <si>
    <t>12.097B</t>
  </si>
  <si>
    <t>MOH</t>
  </si>
  <si>
    <t>Molina Healthcare, Inc.</t>
  </si>
  <si>
    <t>12.216B</t>
  </si>
  <si>
    <t>RGEN</t>
  </si>
  <si>
    <t>Repligen Corporation</t>
  </si>
  <si>
    <t>11.829B</t>
  </si>
  <si>
    <t>DSRLF</t>
  </si>
  <si>
    <t>DiaSorin S.p.A.</t>
  </si>
  <si>
    <t>11.727B</t>
  </si>
  <si>
    <t>RMYHY</t>
  </si>
  <si>
    <t>Ramsay Health Care Limited</t>
  </si>
  <si>
    <t>11.551B</t>
  </si>
  <si>
    <t>CURLF</t>
  </si>
  <si>
    <t>Curaleaf Holdings, Inc.</t>
  </si>
  <si>
    <t>11.596B</t>
  </si>
  <si>
    <t>SHJBF</t>
  </si>
  <si>
    <t>Shanghai Junshi Biosciences Co., Ltd.</t>
  </si>
  <si>
    <t>11.95B</t>
  </si>
  <si>
    <t>NTEDY</t>
  </si>
  <si>
    <t>Notre Dame Intermédica Participações S.A.</t>
  </si>
  <si>
    <t>11.167B</t>
  </si>
  <si>
    <t>GNNDY</t>
  </si>
  <si>
    <t>GN Store Nord A/S</t>
  </si>
  <si>
    <t>RARE</t>
  </si>
  <si>
    <t>Ultragenyx Pharmaceutical Inc.</t>
  </si>
  <si>
    <t>11.096B</t>
  </si>
  <si>
    <t>UHS</t>
  </si>
  <si>
    <t>Universal Health Services, Inc.</t>
  </si>
  <si>
    <t>11.091B</t>
  </si>
  <si>
    <t>RCDTF</t>
  </si>
  <si>
    <t>Recordati Industria Chimica e Farmaceutica S.p.A.</t>
  </si>
  <si>
    <t>11.258B</t>
  </si>
  <si>
    <t>RDY</t>
  </si>
  <si>
    <t>Dr. Reddy's Laboratories Limited</t>
  </si>
  <si>
    <t>NBIX</t>
  </si>
  <si>
    <t>Neurocrine Biosciences, Inc.</t>
  </si>
  <si>
    <t>10.861B</t>
  </si>
  <si>
    <t>MRTX</t>
  </si>
  <si>
    <t>Mirati Therapeutics, Inc.</t>
  </si>
  <si>
    <t>10.665B</t>
  </si>
  <si>
    <t>ICLR</t>
  </si>
  <si>
    <t>ICON Public Limited Company</t>
  </si>
  <si>
    <t>10.632B</t>
  </si>
  <si>
    <t>BHC</t>
  </si>
  <si>
    <t>Bausch Health Companies Inc.</t>
  </si>
  <si>
    <t>10.357B</t>
  </si>
  <si>
    <t>CHEOY</t>
  </si>
  <si>
    <t>Cochlear Limited</t>
  </si>
  <si>
    <t>10.317B</t>
  </si>
  <si>
    <t xml:space="preserve">Wholesale trade </t>
  </si>
  <si>
    <t>Wholesale trade consists of purchasingand selling goods, generally to retailers, professional (industrial or commercial) users or authorities, or to other wholesalers or intermediaries, regardless of the quantities sold. Wholesale trade intermediaries put buyers and vendors into contact (or perform commercial operations for a third party), without being owners of the goods (these are commission agents, brokers, sales agents, self-employed representatives, etc.). Trading groups, other trade intermediaries, may be the owners of goods, which they sell to their members and their affiliates for a very low trade margin.
Almost all goods may give rise to wholesale trade but only some of them are sold in retail (retail trade).</t>
  </si>
  <si>
    <t>38.898B</t>
  </si>
  <si>
    <t>10.688B</t>
  </si>
  <si>
    <t>9.789B</t>
  </si>
  <si>
    <t>USFD</t>
  </si>
  <si>
    <t>US Foods Holding Corp.</t>
  </si>
  <si>
    <t>8.052B</t>
  </si>
  <si>
    <t>PFGC</t>
  </si>
  <si>
    <t>Performance Food Group Company</t>
  </si>
  <si>
    <t>7.097B</t>
  </si>
  <si>
    <t>MTGGY</t>
  </si>
  <si>
    <t>Ceconomy AG</t>
  </si>
  <si>
    <t>4.343B</t>
  </si>
  <si>
    <t>OLMIF</t>
  </si>
  <si>
    <t>Olam International Limited</t>
  </si>
  <si>
    <t>3.834B</t>
  </si>
  <si>
    <t>UNFI</t>
  </si>
  <si>
    <t>United Natural Foods, Inc.</t>
  </si>
  <si>
    <t>1.575B</t>
  </si>
  <si>
    <t>CORE</t>
  </si>
  <si>
    <t>Core-Mark Holding Company, Inc.</t>
  </si>
  <si>
    <t>1.449B</t>
  </si>
  <si>
    <t>CHEF</t>
  </si>
  <si>
    <t>The Chefs' Warehouse, Inc.</t>
  </si>
  <si>
    <t>1.146B</t>
  </si>
  <si>
    <t>ANDE</t>
  </si>
  <si>
    <t>The Andersons, Inc.</t>
  </si>
  <si>
    <t>886.792M</t>
  </si>
  <si>
    <t>SPTN</t>
  </si>
  <si>
    <t>SpartanNash Company</t>
  </si>
  <si>
    <t>686.782M</t>
  </si>
  <si>
    <t>HFFG</t>
  </si>
  <si>
    <t>HF Foods Group Inc.</t>
  </si>
  <si>
    <t>424.652M</t>
  </si>
  <si>
    <t>WILC</t>
  </si>
  <si>
    <t>G. Willi-Food International Ltd.</t>
  </si>
  <si>
    <t>345.982M</t>
  </si>
  <si>
    <t>ZEST</t>
  </si>
  <si>
    <t>Ecoark Holdings, Inc.</t>
  </si>
  <si>
    <t>227.693M</t>
  </si>
  <si>
    <t>VONI</t>
  </si>
  <si>
    <t>Veroni Brands Corp.</t>
  </si>
  <si>
    <t>101.569M</t>
  </si>
  <si>
    <t>COLFF</t>
  </si>
  <si>
    <t>Colabor Group Inc.</t>
  </si>
  <si>
    <t>65.339M</t>
  </si>
  <si>
    <t>DIT</t>
  </si>
  <si>
    <t>AMCON Distributing Company</t>
  </si>
  <si>
    <t>60.926M</t>
  </si>
  <si>
    <t>GPDB</t>
  </si>
  <si>
    <t>Green PolkaDot Box Incorporated</t>
  </si>
  <si>
    <t>52.623M</t>
  </si>
  <si>
    <t>IVFH</t>
  </si>
  <si>
    <t>Innovative Food Holdings, Inc.</t>
  </si>
  <si>
    <t>23.135M</t>
  </si>
  <si>
    <t>PACV</t>
  </si>
  <si>
    <t>Pacific Ventures Group, Inc.</t>
  </si>
  <si>
    <t>2.888M</t>
  </si>
  <si>
    <t>VRUSD</t>
  </si>
  <si>
    <t>Verus International, Inc.</t>
  </si>
  <si>
    <t>2.857M</t>
  </si>
  <si>
    <t>LFER</t>
  </si>
  <si>
    <t>Life On Earth, Inc.</t>
  </si>
  <si>
    <t>1.762M</t>
  </si>
  <si>
    <t>ENHD</t>
  </si>
  <si>
    <t>Energroup Holdings Corp.</t>
  </si>
  <si>
    <t>1.626M</t>
  </si>
  <si>
    <t xml:space="preserve">Mining </t>
  </si>
  <si>
    <t>Mining is the extraction of valuable minerals or other geological materials from the Earth, usually from an ore body, lode, vein, seam, reef or placer deposit. These deposits form a mineralized commodity that is of economic interest to the miner. Ores recovered by mining include metals, coal, oil shale, gemstones, limestone, chalk, dimension stone, rock salt, potash, gravel, and clay. Mining is required to obtain any material that cannot be grown through agricultural processes, or feasibly created artificially in a laboratory or factory. Mining in a wider sense includes extraction of any non-renewable resource such as petroleum, natural gas, or even water.</t>
  </si>
  <si>
    <t>BHP</t>
  </si>
  <si>
    <t>BHP Group</t>
  </si>
  <si>
    <t>173.857B</t>
  </si>
  <si>
    <t>RIO</t>
  </si>
  <si>
    <t>Rio Tinto Group</t>
  </si>
  <si>
    <t>101.504B</t>
  </si>
  <si>
    <t>VALE</t>
  </si>
  <si>
    <t>Vale S.A.</t>
  </si>
  <si>
    <t>90.492B</t>
  </si>
  <si>
    <t>FSUGY</t>
  </si>
  <si>
    <t>Fortescue Metals Group Limited</t>
  </si>
  <si>
    <t>57.101B</t>
  </si>
  <si>
    <t>NILSY</t>
  </si>
  <si>
    <t>Public Joint Stock Company Mining and Metallurgical Company Norilsk Nickel</t>
  </si>
  <si>
    <t>54.452B</t>
  </si>
  <si>
    <t>NGLOY</t>
  </si>
  <si>
    <t>Anglo American plc</t>
  </si>
  <si>
    <t>48.734B</t>
  </si>
  <si>
    <t>GLNCY</t>
  </si>
  <si>
    <t>Glencore plc</t>
  </si>
  <si>
    <t>48.841B</t>
  </si>
  <si>
    <t>GMBXF</t>
  </si>
  <si>
    <t>Grupo México, S.A.B. de C.V.</t>
  </si>
  <si>
    <t>34.754B</t>
  </si>
  <si>
    <t>AGPPF</t>
  </si>
  <si>
    <t>Anglo American Platinum Limited</t>
  </si>
  <si>
    <t>29.084B</t>
  </si>
  <si>
    <t>CMCLF</t>
  </si>
  <si>
    <t>China Molybdenum Co., Ltd.</t>
  </si>
  <si>
    <t>19.804B</t>
  </si>
  <si>
    <t>SMMYY</t>
  </si>
  <si>
    <t>Sumitomo Metal Mining Co., Ltd.</t>
  </si>
  <si>
    <t>12.559B</t>
  </si>
  <si>
    <t>IMPUY</t>
  </si>
  <si>
    <t>Impala Platinum Holdings Limited</t>
  </si>
  <si>
    <t>11.592B</t>
  </si>
  <si>
    <t>AUCOY</t>
  </si>
  <si>
    <t>Polymetal International plc</t>
  </si>
  <si>
    <t>10.428B</t>
  </si>
  <si>
    <t>FNLPF</t>
  </si>
  <si>
    <t>Fresnillo Plc</t>
  </si>
  <si>
    <t>10.341B</t>
  </si>
  <si>
    <t>BDNNY</t>
  </si>
  <si>
    <t>Boliden AB (publ)</t>
  </si>
  <si>
    <t>10.257B</t>
  </si>
  <si>
    <t>TECK</t>
  </si>
  <si>
    <t>Teck Resources Limited</t>
  </si>
  <si>
    <t>10.084B</t>
  </si>
  <si>
    <t>SHTLF</t>
  </si>
  <si>
    <t>South32 Limited</t>
  </si>
  <si>
    <t>9.617B</t>
  </si>
  <si>
    <t>BOLIF</t>
  </si>
  <si>
    <t>9.675B</t>
  </si>
  <si>
    <t>SOUHY</t>
  </si>
  <si>
    <t>9.503B</t>
  </si>
  <si>
    <t>VEDL</t>
  </si>
  <si>
    <t>Vedanta Limited</t>
  </si>
  <si>
    <t>9.242B</t>
  </si>
  <si>
    <t>IVPAF</t>
  </si>
  <si>
    <t>Ivanhoe Mines Ltd.</t>
  </si>
  <si>
    <t>6.368B</t>
  </si>
  <si>
    <t>MP</t>
  </si>
  <si>
    <t>MP Materials Corp.</t>
  </si>
  <si>
    <t>6.071B</t>
  </si>
  <si>
    <t>IPOAF</t>
  </si>
  <si>
    <t>Industrias Peñoles, S.A.B. de C.V.</t>
  </si>
  <si>
    <t>6.208B</t>
  </si>
  <si>
    <t>MALRY</t>
  </si>
  <si>
    <t>Mineral Resources Limited</t>
  </si>
  <si>
    <t>5.381B</t>
  </si>
  <si>
    <t>PTNDF</t>
  </si>
  <si>
    <t>PT Vale Indonesia Tbk</t>
  </si>
  <si>
    <t>4.216B</t>
  </si>
  <si>
    <t>MSNFY</t>
  </si>
  <si>
    <t>Minera Frisco, S.A.B. de C.V.</t>
  </si>
  <si>
    <t>2.12B</t>
  </si>
  <si>
    <t>IPGDF</t>
  </si>
  <si>
    <t>IGO Limited</t>
  </si>
  <si>
    <t>3.805B</t>
  </si>
  <si>
    <t>LYSDY</t>
  </si>
  <si>
    <t>Lynas Rare Earths Limited</t>
  </si>
  <si>
    <t>3.518B</t>
  </si>
  <si>
    <t>LAC</t>
  </si>
  <si>
    <t>Lithium Americas Corp.</t>
  </si>
  <si>
    <t>BVN</t>
  </si>
  <si>
    <t>Compañía de Minas Buenaventura S.A.A.</t>
  </si>
  <si>
    <t>2.629B</t>
  </si>
  <si>
    <t>PILBF</t>
  </si>
  <si>
    <t>Pilbara Minerals Limited</t>
  </si>
  <si>
    <t>2.244B</t>
  </si>
  <si>
    <t>NICMF</t>
  </si>
  <si>
    <t>Nickel Mines Limited</t>
  </si>
  <si>
    <t>2.25B</t>
  </si>
  <si>
    <t>CMP</t>
  </si>
  <si>
    <t>Compass Minerals International, Inc.</t>
  </si>
  <si>
    <t>2.201B</t>
  </si>
  <si>
    <t>ILKAY</t>
  </si>
  <si>
    <t>Iluka Resources Limited</t>
  </si>
  <si>
    <t>2.22B</t>
  </si>
  <si>
    <t>SCCO</t>
  </si>
  <si>
    <t>Southern Copper Corporation</t>
  </si>
  <si>
    <t>54.935B</t>
  </si>
  <si>
    <t>NEM</t>
  </si>
  <si>
    <t>Newmont Corporation</t>
  </si>
  <si>
    <t>48.21B</t>
  </si>
  <si>
    <t>FCX</t>
  </si>
  <si>
    <t>Freeport-McMoRan Inc.</t>
  </si>
  <si>
    <t>46.749B</t>
  </si>
  <si>
    <t>ZIJMF</t>
  </si>
  <si>
    <t>Zijin Mining Group Company Limited</t>
  </si>
  <si>
    <t>43.33B</t>
  </si>
  <si>
    <t>GOLD</t>
  </si>
  <si>
    <t>Barrick Gold Corporation</t>
  </si>
  <si>
    <t>39.8B</t>
  </si>
  <si>
    <t>OPYGY</t>
  </si>
  <si>
    <t>Public Joint Stock Company Polyus</t>
  </si>
  <si>
    <t>26.175B</t>
  </si>
  <si>
    <t>MT</t>
  </si>
  <si>
    <t>ArcelorMittal</t>
  </si>
  <si>
    <t>24.592B</t>
  </si>
  <si>
    <t>FNV</t>
  </si>
  <si>
    <t>Franco-Nevada Corporation</t>
  </si>
  <si>
    <t>23.519B</t>
  </si>
  <si>
    <t>ANFGF</t>
  </si>
  <si>
    <t>Antofagasta plc</t>
  </si>
  <si>
    <t>20.747B</t>
  </si>
  <si>
    <t>PKX</t>
  </si>
  <si>
    <t>POSCO</t>
  </si>
  <si>
    <t>19.322B</t>
  </si>
  <si>
    <t>WPM</t>
  </si>
  <si>
    <t>Wheaton Precious Metals Corp.</t>
  </si>
  <si>
    <t>18.559B</t>
  </si>
  <si>
    <t>AEM</t>
  </si>
  <si>
    <t>Agnico Eagle Mines Limited</t>
  </si>
  <si>
    <t>17.508B</t>
  </si>
  <si>
    <t>NUE</t>
  </si>
  <si>
    <t>Nucor Corporation</t>
  </si>
  <si>
    <t>16.509B</t>
  </si>
  <si>
    <t>NCMGY</t>
  </si>
  <si>
    <t>Newcrest Mining Limited</t>
  </si>
  <si>
    <t>15.645B</t>
  </si>
  <si>
    <t>FQVLF</t>
  </si>
  <si>
    <t>First Quantum Minerals Ltd.</t>
  </si>
  <si>
    <t>12.872B</t>
  </si>
  <si>
    <t>NPSCY</t>
  </si>
  <si>
    <t>Nippon Steel Corporation</t>
  </si>
  <si>
    <t>12.84B</t>
  </si>
  <si>
    <t>SBSW</t>
  </si>
  <si>
    <t>Sibanye Stillwater Limited</t>
  </si>
  <si>
    <t>12.492B</t>
  </si>
  <si>
    <t>NISTF</t>
  </si>
  <si>
    <t>12.831B</t>
  </si>
  <si>
    <t>EVRZF</t>
  </si>
  <si>
    <t>EVRAZ plc</t>
  </si>
  <si>
    <t>10.629B</t>
  </si>
  <si>
    <t>KL</t>
  </si>
  <si>
    <t>Kirkland Lake Gold Ltd.</t>
  </si>
  <si>
    <t>10.416B</t>
  </si>
  <si>
    <t>AU</t>
  </si>
  <si>
    <t>AngloGold Ashanti Limited</t>
  </si>
  <si>
    <t>9.763B</t>
  </si>
  <si>
    <t>NHYKF</t>
  </si>
  <si>
    <t>Norsk Hydro ASA</t>
  </si>
  <si>
    <t>9.686B</t>
  </si>
  <si>
    <t>KGC</t>
  </si>
  <si>
    <t>Kinross Gold Corporation</t>
  </si>
  <si>
    <t>9.226B</t>
  </si>
  <si>
    <t>SID</t>
  </si>
  <si>
    <t>Companhia Siderúrgica Nacional</t>
  </si>
  <si>
    <t>9.018B</t>
  </si>
  <si>
    <t>ACH</t>
  </si>
  <si>
    <t>Aluminum Corporation of China Limited</t>
  </si>
  <si>
    <t>8.604B</t>
  </si>
  <si>
    <t>JIAXF</t>
  </si>
  <si>
    <t>Jiangxi Copper Company Limited</t>
  </si>
  <si>
    <t>8.866B</t>
  </si>
  <si>
    <t>GFI</t>
  </si>
  <si>
    <t>Gold Fields Limited</t>
  </si>
  <si>
    <t>8.25B</t>
  </si>
  <si>
    <t>ALMMF</t>
  </si>
  <si>
    <t>9.36B</t>
  </si>
  <si>
    <t>STLD</t>
  </si>
  <si>
    <t>Steel Dynamics, Inc.</t>
  </si>
  <si>
    <t>8.086B</t>
  </si>
  <si>
    <t>ERELY</t>
  </si>
  <si>
    <t>Eregli Demir ve Çelik Fabrikalari T.A.S.</t>
  </si>
  <si>
    <t>7.105B</t>
  </si>
  <si>
    <t>GFIOF</t>
  </si>
  <si>
    <t>RS</t>
  </si>
  <si>
    <t>Reliance Steel &amp; Aluminum Co.</t>
  </si>
  <si>
    <t>7.959B</t>
  </si>
  <si>
    <t>CLF</t>
  </si>
  <si>
    <t>Cleveland-Cliffs Inc.</t>
  </si>
  <si>
    <t>7.601B</t>
  </si>
  <si>
    <t>LUNMF</t>
  </si>
  <si>
    <t>Lundin Mining Corporation</t>
  </si>
  <si>
    <t>GGB</t>
  </si>
  <si>
    <t>Gerdau S.A.</t>
  </si>
  <si>
    <t>7.2B</t>
  </si>
  <si>
    <t>RGLD</t>
  </si>
  <si>
    <t>Royal Gold, Inc.</t>
  </si>
  <si>
    <t>7.156B</t>
  </si>
  <si>
    <t>SSAAY</t>
  </si>
  <si>
    <t>SSAB AB (publ)</t>
  </si>
  <si>
    <t>7.335B</t>
  </si>
  <si>
    <t>PAAS</t>
  </si>
  <si>
    <t>Pan American Silver Corp.</t>
  </si>
  <si>
    <t>6.929B</t>
  </si>
  <si>
    <t>VLPNF</t>
  </si>
  <si>
    <t>Voestalpine AG</t>
  </si>
  <si>
    <t>6.816B</t>
  </si>
  <si>
    <t>NESRF</t>
  </si>
  <si>
    <t>Northern Star Resources Limited</t>
  </si>
  <si>
    <t>6.861B</t>
  </si>
  <si>
    <t>BLSFY</t>
  </si>
  <si>
    <t>BlueScope Steel Limited</t>
  </si>
  <si>
    <t>6.738B</t>
  </si>
  <si>
    <t>CAHPF</t>
  </si>
  <si>
    <t>Evolution Mining Limited</t>
  </si>
  <si>
    <t>6.114B</t>
  </si>
  <si>
    <t>TX</t>
  </si>
  <si>
    <t>Ternium S.A.</t>
  </si>
  <si>
    <t>5.599B</t>
  </si>
  <si>
    <t>BTG</t>
  </si>
  <si>
    <t>B2Gold Corp.</t>
  </si>
  <si>
    <t>5.302B</t>
  </si>
  <si>
    <t>KZMYY</t>
  </si>
  <si>
    <t>KAZ Minerals PLC</t>
  </si>
  <si>
    <t>5.181B</t>
  </si>
  <si>
    <t>OZMLF</t>
  </si>
  <si>
    <t>OZ Minerals Limited</t>
  </si>
  <si>
    <t>4.856B</t>
  </si>
  <si>
    <t>AUY</t>
  </si>
  <si>
    <t>Yamana Gold Inc.</t>
  </si>
  <si>
    <t>4.701B</t>
  </si>
  <si>
    <t>AA</t>
  </si>
  <si>
    <t>Alcoa Corporation</t>
  </si>
  <si>
    <t>4.047B</t>
  </si>
  <si>
    <t>AWCMF</t>
  </si>
  <si>
    <t>Alumina Limited</t>
  </si>
  <si>
    <t>3.854B</t>
  </si>
  <si>
    <t>AG</t>
  </si>
  <si>
    <t>First Majestic Silver Corp.</t>
  </si>
  <si>
    <t>3.786B</t>
  </si>
  <si>
    <t>SSRM</t>
  </si>
  <si>
    <t>SSR Mining Inc.</t>
  </si>
  <si>
    <t>3.769B</t>
  </si>
  <si>
    <t>SCEXF</t>
  </si>
  <si>
    <t>Saracen Mineral Holdings Limited</t>
  </si>
  <si>
    <t>3.673B</t>
  </si>
  <si>
    <t>X</t>
  </si>
  <si>
    <t>United States Steel Corporation</t>
  </si>
  <si>
    <t>4.314B</t>
  </si>
  <si>
    <t>EDVMF</t>
  </si>
  <si>
    <t>Endeavour Mining Corporation</t>
  </si>
  <si>
    <t>3.526B</t>
  </si>
  <si>
    <t>HL</t>
  </si>
  <si>
    <t>Hecla Mining Company</t>
  </si>
  <si>
    <t>3.393B</t>
  </si>
  <si>
    <t>APEMY</t>
  </si>
  <si>
    <t>Aperam S.A.</t>
  </si>
  <si>
    <t>3.524B</t>
  </si>
  <si>
    <t>ANIOY</t>
  </si>
  <si>
    <t>Acerinox, S.A.</t>
  </si>
  <si>
    <t>3.169B</t>
  </si>
  <si>
    <t>CAGDF</t>
  </si>
  <si>
    <t>Centerra Gold Inc.</t>
  </si>
  <si>
    <t>3.271B</t>
  </si>
  <si>
    <t>USNZY</t>
  </si>
  <si>
    <t>Usinas Siderúrgicas de Minas Gerais S.A.</t>
  </si>
  <si>
    <t>3.274B</t>
  </si>
  <si>
    <t>NG</t>
  </si>
  <si>
    <t>NovaGold Resources Inc.</t>
  </si>
  <si>
    <t>3.176B</t>
  </si>
  <si>
    <t>AGI</t>
  </si>
  <si>
    <t>Alamos Gold Inc.</t>
  </si>
  <si>
    <t>3.168B</t>
  </si>
  <si>
    <t>MAANF</t>
  </si>
  <si>
    <t>Maanshan Iron &amp; Steel Company Limited</t>
  </si>
  <si>
    <t>2.779B</t>
  </si>
  <si>
    <t>TRQ</t>
  </si>
  <si>
    <t>Turquoise Hill Resources Ltd.</t>
  </si>
  <si>
    <t>2.729B</t>
  </si>
  <si>
    <t>KOZAY</t>
  </si>
  <si>
    <t>Koza Altin Isletmeleri A.S.</t>
  </si>
  <si>
    <t>2.869B</t>
  </si>
  <si>
    <t>CMC</t>
  </si>
  <si>
    <t>Commercial Metals Company</t>
  </si>
  <si>
    <t>2.625B</t>
  </si>
  <si>
    <t>HMY</t>
  </si>
  <si>
    <t>Harmony Gold Mining Company Limited</t>
  </si>
  <si>
    <t>2.537B</t>
  </si>
  <si>
    <t>EQX</t>
  </si>
  <si>
    <t>Equinox Gold Corp.</t>
  </si>
  <si>
    <t>2.431B</t>
  </si>
  <si>
    <t>ICHBF</t>
  </si>
  <si>
    <t>Industrias CH, S. A. B. de C. V.</t>
  </si>
  <si>
    <t>2.355B</t>
  </si>
  <si>
    <t>CDE</t>
  </si>
  <si>
    <t>Coeur Mining, Inc.</t>
  </si>
  <si>
    <t>2.386B</t>
  </si>
  <si>
    <t>EGO</t>
  </si>
  <si>
    <t>Eldorado Gold Corporation</t>
  </si>
  <si>
    <t>2.313B</t>
  </si>
  <si>
    <t>KBSTF</t>
  </si>
  <si>
    <t>Kobe Steel, Ltd.</t>
  </si>
  <si>
    <t>2.175B</t>
  </si>
  <si>
    <t>SIM</t>
  </si>
  <si>
    <t>Grupo Simec, S.A.B. de C.V.</t>
  </si>
  <si>
    <t>2.167B</t>
  </si>
  <si>
    <t>PVG</t>
  </si>
  <si>
    <t>Pretium Resources Inc.</t>
  </si>
  <si>
    <t>2.078B</t>
  </si>
  <si>
    <t>Construction is a general term meaning the art and science to form objects, systems, or organizations. In its most widely used context, construction covers the processes involved in delivering buildings, infrastructure and industrial facilities, and associated activities through to the end of their life. It typically starts with planning, financing, and design, and continues until the asset is built and ready for use; construction also covers repairs and maintenance work, any works to expand, extend and improve the asset, and its eventual demolition, dismantling or decommissioning</t>
  </si>
  <si>
    <t>VCISF</t>
  </si>
  <si>
    <t>VINCI SA</t>
  </si>
  <si>
    <t>59.134B</t>
  </si>
  <si>
    <t>JCI</t>
  </si>
  <si>
    <t>Johnson Controls International plc</t>
  </si>
  <si>
    <t>37.068B</t>
  </si>
  <si>
    <t>LTOUF</t>
  </si>
  <si>
    <t>Larsen &amp; Toubro Limited</t>
  </si>
  <si>
    <t>30.656B</t>
  </si>
  <si>
    <t>DHI</t>
  </si>
  <si>
    <t>D.R. Horton, Inc.</t>
  </si>
  <si>
    <t>29.751B</t>
  </si>
  <si>
    <t>LEN</t>
  </si>
  <si>
    <t>Lennar Corporation</t>
  </si>
  <si>
    <t>28.383B</t>
  </si>
  <si>
    <t>NVR</t>
  </si>
  <si>
    <t>NVR, Inc.</t>
  </si>
  <si>
    <t>17.368B</t>
  </si>
  <si>
    <t>J</t>
  </si>
  <si>
    <t>Jacobs Engineering Group Inc.</t>
  </si>
  <si>
    <t>14.563B</t>
  </si>
  <si>
    <t>PHM</t>
  </si>
  <si>
    <t>PulteGroup, Inc.</t>
  </si>
  <si>
    <t>13.082B</t>
  </si>
  <si>
    <t>PWR</t>
  </si>
  <si>
    <t>Quanta Services, Inc.</t>
  </si>
  <si>
    <t>10.716B</t>
  </si>
  <si>
    <t>WSPOF</t>
  </si>
  <si>
    <t>WSP Global Inc.</t>
  </si>
  <si>
    <t>ACM</t>
  </si>
  <si>
    <t>AECOM</t>
  </si>
  <si>
    <t>7.907B</t>
  </si>
  <si>
    <t>TISCY</t>
  </si>
  <si>
    <t>Taisei Corporation</t>
  </si>
  <si>
    <t>7.769B</t>
  </si>
  <si>
    <t>TTEK</t>
  </si>
  <si>
    <t>Tetra Tech, Inc.</t>
  </si>
  <si>
    <t>7.392B</t>
  </si>
  <si>
    <t>BLD</t>
  </si>
  <si>
    <t>TopBuild Corp.</t>
  </si>
  <si>
    <t>7.372B</t>
  </si>
  <si>
    <t>TOL</t>
  </si>
  <si>
    <t>Toll Brothers, Inc.</t>
  </si>
  <si>
    <t>6.701B</t>
  </si>
  <si>
    <t>MTZ</t>
  </si>
  <si>
    <t>MasTec, Inc.</t>
  </si>
  <si>
    <t>6.285B</t>
  </si>
  <si>
    <t>EME</t>
  </si>
  <si>
    <t>EMCOR Group, Inc.</t>
  </si>
  <si>
    <t>5.227B</t>
  </si>
  <si>
    <t>KBR</t>
  </si>
  <si>
    <t>KBR, Inc.</t>
  </si>
  <si>
    <t>4.438B</t>
  </si>
  <si>
    <t>STN</t>
  </si>
  <si>
    <t>Stantec Inc.</t>
  </si>
  <si>
    <t>4.363B</t>
  </si>
  <si>
    <t>KBH</t>
  </si>
  <si>
    <t>KB Home</t>
  </si>
  <si>
    <t>4.332B</t>
  </si>
  <si>
    <t>TMHC</t>
  </si>
  <si>
    <t>Taylor Morrison Home Corporation</t>
  </si>
  <si>
    <t>3.939B</t>
  </si>
  <si>
    <t>MDC</t>
  </si>
  <si>
    <t>M.D.C. Holdings, Inc.</t>
  </si>
  <si>
    <t>3.855B</t>
  </si>
  <si>
    <t>ZHEXF</t>
  </si>
  <si>
    <t>Zhejiang Expressway Co., Ltd.</t>
  </si>
  <si>
    <t>3.773B</t>
  </si>
  <si>
    <t>ARCAY</t>
  </si>
  <si>
    <t>Arcadis NV</t>
  </si>
  <si>
    <t>3.466B</t>
  </si>
  <si>
    <t>SNCAF</t>
  </si>
  <si>
    <t>SNC-Lavalin Group Inc.</t>
  </si>
  <si>
    <t>3.461B</t>
  </si>
  <si>
    <t>ARCVF</t>
  </si>
  <si>
    <t>3.356B</t>
  </si>
  <si>
    <t>APG</t>
  </si>
  <si>
    <t>APi Group Corporation</t>
  </si>
  <si>
    <t>3.351B</t>
  </si>
  <si>
    <t>AMRC</t>
  </si>
  <si>
    <t>Ameresco, Inc.</t>
  </si>
  <si>
    <t>3.322B</t>
  </si>
  <si>
    <t>MTH</t>
  </si>
  <si>
    <t>Meritage Homes Corporation</t>
  </si>
  <si>
    <t>3.312B</t>
  </si>
  <si>
    <t>JGCCY</t>
  </si>
  <si>
    <t>JGC Holdings Corporation</t>
  </si>
  <si>
    <t>3.263B</t>
  </si>
  <si>
    <t>PUODY</t>
  </si>
  <si>
    <t>Promotora y Operadora de Infraestructura, S. A. B. de C. V.</t>
  </si>
  <si>
    <t>3.058B</t>
  </si>
  <si>
    <t>ACA</t>
  </si>
  <si>
    <t>Arcosa, Inc.</t>
  </si>
  <si>
    <t>2.98B</t>
  </si>
  <si>
    <t>LGIH</t>
  </si>
  <si>
    <t>LGI Homes, Inc.</t>
  </si>
  <si>
    <t>2.963B</t>
  </si>
  <si>
    <t>DY</t>
  </si>
  <si>
    <t>Dycom Industries, Inc.</t>
  </si>
  <si>
    <t>2.945B</t>
  </si>
  <si>
    <t>DFH</t>
  </si>
  <si>
    <t>Dream Finders Homes, Inc.</t>
  </si>
  <si>
    <t>2.757B</t>
  </si>
  <si>
    <t>FLR</t>
  </si>
  <si>
    <t>Fluor Corporation</t>
  </si>
  <si>
    <t>2.728B</t>
  </si>
  <si>
    <t>TPH</t>
  </si>
  <si>
    <t>Tri Pointe Homes, Inc.</t>
  </si>
  <si>
    <t>2.703B</t>
  </si>
  <si>
    <t>BAFYY</t>
  </si>
  <si>
    <t>Balfour Beatty plc</t>
  </si>
  <si>
    <t>2.592B</t>
  </si>
  <si>
    <t>FIX</t>
  </si>
  <si>
    <t>Comfort Systems USA, Inc.</t>
  </si>
  <si>
    <t>2.382B</t>
  </si>
  <si>
    <t>SKY</t>
  </si>
  <si>
    <t>Skyline Champion Corporation</t>
  </si>
  <si>
    <t>2.378B</t>
  </si>
  <si>
    <t>CYRBY</t>
  </si>
  <si>
    <t>Cyrela Brazil Realty S.A. Empreendimentos e Participações</t>
  </si>
  <si>
    <t>2.039B</t>
  </si>
  <si>
    <t>Bloomberg</t>
  </si>
  <si>
    <t>ACM US Equity</t>
  </si>
  <si>
    <t>MTZ US Equity</t>
  </si>
  <si>
    <t>MASTEC INC</t>
  </si>
  <si>
    <t>EME US Equity</t>
  </si>
  <si>
    <t>EMCOR GROUP INC</t>
  </si>
  <si>
    <t>TTEK US Equity</t>
  </si>
  <si>
    <t>TETRA TECH INC</t>
  </si>
  <si>
    <t>WSC US Equity</t>
  </si>
  <si>
    <t>WILLSCOT MOBILE</t>
  </si>
  <si>
    <t>BLD US Equity</t>
  </si>
  <si>
    <t>TOPBUILD COR</t>
  </si>
  <si>
    <t>EXPO US Equity</t>
  </si>
  <si>
    <t>EXPONENT INC</t>
  </si>
  <si>
    <t>FTDR US Equity</t>
  </si>
  <si>
    <t>FRONTDOOR IN</t>
  </si>
  <si>
    <t>SWIM US Equity</t>
  </si>
  <si>
    <t>LATHAM GROUP INC</t>
  </si>
  <si>
    <t>IBP US Equity</t>
  </si>
  <si>
    <t>INSTALLED BUILDI</t>
  </si>
  <si>
    <t>FIX US Equity</t>
  </si>
  <si>
    <t>COMFORT SYSTEMS</t>
  </si>
  <si>
    <t>ACA US Equity</t>
  </si>
  <si>
    <t>ARCOSA INC</t>
  </si>
  <si>
    <t>FLR US Equity</t>
  </si>
  <si>
    <t>FLUOR CORP</t>
  </si>
  <si>
    <t>DY US Equity</t>
  </si>
  <si>
    <t>DYCOM INDS</t>
  </si>
  <si>
    <t>J US Equity</t>
  </si>
  <si>
    <t>JACOBS ENGIN GRP</t>
  </si>
  <si>
    <t>PWR US Equity</t>
  </si>
  <si>
    <t>QUANTA SERVICES</t>
  </si>
  <si>
    <t xml:space="preserve">Educational Services </t>
  </si>
  <si>
    <t>Educational Services . Means classes, programs, activities or other services designed to provide an appropriate education to a student determined to be in need of special education or to a student not determined to be in need of special education. In the case of a student determined to be in need of special education, educational services and educational related services shall be provided in accordance with the Individualized Education Program (IEP) developed for the student by the Planning and Placement Team (PPT) of the student’s LEA.</t>
  </si>
  <si>
    <t>TAL</t>
  </si>
  <si>
    <t>TAL Education Group</t>
  </si>
  <si>
    <t>51.021B</t>
  </si>
  <si>
    <t>EDU</t>
  </si>
  <si>
    <t>New Oriental Education &amp; Technology Group Inc.</t>
  </si>
  <si>
    <t>31.806B</t>
  </si>
  <si>
    <t>GSX</t>
  </si>
  <si>
    <t>GSX Techedu Inc.</t>
  </si>
  <si>
    <t>21.796B</t>
  </si>
  <si>
    <t>CHGG</t>
  </si>
  <si>
    <t>Chegg, Inc.</t>
  </si>
  <si>
    <t>13.238B</t>
  </si>
  <si>
    <t>LOPE</t>
  </si>
  <si>
    <t>Grand Canyon Education, Inc.</t>
  </si>
  <si>
    <t>4.68B</t>
  </si>
  <si>
    <t>TWOU</t>
  </si>
  <si>
    <t>2U, Inc.</t>
  </si>
  <si>
    <t>3.376B</t>
  </si>
  <si>
    <t>LAUR</t>
  </si>
  <si>
    <t>Laureate Education, Inc.</t>
  </si>
  <si>
    <t>3.057B</t>
  </si>
  <si>
    <t>GHC</t>
  </si>
  <si>
    <t>Graham Holdings Company</t>
  </si>
  <si>
    <t>2.984B</t>
  </si>
  <si>
    <t>YQ</t>
  </si>
  <si>
    <t>17 Education &amp; Technology Group Inc.</t>
  </si>
  <si>
    <t>STRA</t>
  </si>
  <si>
    <t>Strategic Education, Inc.</t>
  </si>
  <si>
    <t>2.298B</t>
  </si>
  <si>
    <t>ARCE</t>
  </si>
  <si>
    <t>Arco Platform Limited</t>
  </si>
  <si>
    <t>2.238B</t>
  </si>
  <si>
    <t>AFYA</t>
  </si>
  <si>
    <t>Afya Limited</t>
  </si>
  <si>
    <t>2.224B</t>
  </si>
  <si>
    <t>ATGE</t>
  </si>
  <si>
    <t>Adtalem Global Education Inc.</t>
  </si>
  <si>
    <t>2.071B</t>
  </si>
  <si>
    <t>BSEFY</t>
  </si>
  <si>
    <t>Benesse Holdings, Inc.</t>
  </si>
  <si>
    <t>2.05B</t>
  </si>
  <si>
    <t>YDUQY</t>
  </si>
  <si>
    <t>Yduqs Participações S.A.</t>
  </si>
  <si>
    <t>1.83B</t>
  </si>
  <si>
    <t>COGNY</t>
  </si>
  <si>
    <t>Cogna Educação S.A.</t>
  </si>
  <si>
    <t>1.55B</t>
  </si>
  <si>
    <t>HLG</t>
  </si>
  <si>
    <t>Hailiang Education Group Inc.</t>
  </si>
  <si>
    <t>1.56B</t>
  </si>
  <si>
    <t>YUMM</t>
  </si>
  <si>
    <t>Yummies, Inc.</t>
  </si>
  <si>
    <t>1.461B</t>
  </si>
  <si>
    <t>LRN</t>
  </si>
  <si>
    <t>Stride, Inc.</t>
  </si>
  <si>
    <t>1.172B</t>
  </si>
  <si>
    <t>VSTA</t>
  </si>
  <si>
    <t>Vasta Platform Limited</t>
  </si>
  <si>
    <t>1.17B</t>
  </si>
  <si>
    <t>IH</t>
  </si>
  <si>
    <t>iHuman Inc.</t>
  </si>
  <si>
    <t>1.001B</t>
  </si>
  <si>
    <t>PRDO</t>
  </si>
  <si>
    <t>Perdoceo Education Corporation</t>
  </si>
  <si>
    <t>958.932M</t>
  </si>
  <si>
    <t>BEDU</t>
  </si>
  <si>
    <t>Bright Scholar Education Holdings Limited</t>
  </si>
  <si>
    <t>766.452M</t>
  </si>
  <si>
    <t>HMHC</t>
  </si>
  <si>
    <t>Houghton Mifflin Harcourt Company</t>
  </si>
  <si>
    <t>752.583M</t>
  </si>
  <si>
    <t>NEW</t>
  </si>
  <si>
    <t>Puxin Limited</t>
  </si>
  <si>
    <t>676.154M</t>
  </si>
  <si>
    <t>ONE</t>
  </si>
  <si>
    <t>OneSmart International Education Group Limited</t>
  </si>
  <si>
    <t>648.888M</t>
  </si>
  <si>
    <t>COE</t>
  </si>
  <si>
    <t>China Online Education Group</t>
  </si>
  <si>
    <t>522.769M</t>
  </si>
  <si>
    <t>APEI</t>
  </si>
  <si>
    <t>American Public Education, Inc.</t>
  </si>
  <si>
    <t>459.381M</t>
  </si>
  <si>
    <t>VTRU</t>
  </si>
  <si>
    <t>Vitru Limited</t>
  </si>
  <si>
    <t>363.396M</t>
  </si>
  <si>
    <t>REDU</t>
  </si>
  <si>
    <t>RISE Education Cayman Ltd</t>
  </si>
  <si>
    <t>333.195M</t>
  </si>
  <si>
    <t>DL</t>
  </si>
  <si>
    <t>China Distance Education Holdings Limited</t>
  </si>
  <si>
    <t>329.904M</t>
  </si>
  <si>
    <t>STG</t>
  </si>
  <si>
    <t>Sunlands Technology Group</t>
  </si>
  <si>
    <t>257.392M</t>
  </si>
  <si>
    <t>ASPU</t>
  </si>
  <si>
    <t>Aspen Group, Inc.</t>
  </si>
  <si>
    <t>244.212M</t>
  </si>
  <si>
    <t>GPX</t>
  </si>
  <si>
    <t>GP Strategies Corporation</t>
  </si>
  <si>
    <t>240.61M</t>
  </si>
  <si>
    <t>UTI</t>
  </si>
  <si>
    <t>Universal Technical Institute, Inc.</t>
  </si>
  <si>
    <t>205.278M</t>
  </si>
  <si>
    <t>AACG</t>
  </si>
  <si>
    <t>ATA Creativity Global</t>
  </si>
  <si>
    <t>194.687M</t>
  </si>
  <si>
    <t>LAIX</t>
  </si>
  <si>
    <t>LAIX Inc.</t>
  </si>
  <si>
    <t>189.743M</t>
  </si>
  <si>
    <t>ZVO</t>
  </si>
  <si>
    <t>Zovio Inc</t>
  </si>
  <si>
    <t>189.24M</t>
  </si>
  <si>
    <t>TEDU</t>
  </si>
  <si>
    <t>Tarena International, Inc.</t>
  </si>
  <si>
    <t>172.884M</t>
  </si>
  <si>
    <t>LINC</t>
  </si>
  <si>
    <t>Lincoln Educational Services Corporation</t>
  </si>
  <si>
    <t>160.446M</t>
  </si>
  <si>
    <t>METX</t>
  </si>
  <si>
    <t>Meten EdtechX Education Group Ltd.</t>
  </si>
  <si>
    <t>155.615M</t>
  </si>
  <si>
    <t>LXEH</t>
  </si>
  <si>
    <t>Lixiang Education Holding Co., Ltd.</t>
  </si>
  <si>
    <t>107.458M</t>
  </si>
  <si>
    <t>RYB</t>
  </si>
  <si>
    <t>RYB Education, Inc.</t>
  </si>
  <si>
    <t>83.035M</t>
  </si>
  <si>
    <t>FEDU</t>
  </si>
  <si>
    <t>Four Seasons Education (Cayman) Inc.</t>
  </si>
  <si>
    <t>74.212M</t>
  </si>
  <si>
    <t>AMBO</t>
  </si>
  <si>
    <t>Ambow Education Holding Ltd.</t>
  </si>
  <si>
    <t>71.155M</t>
  </si>
  <si>
    <t>EDTK</t>
  </si>
  <si>
    <t>Skillful Craftsman Education Technology Limited</t>
  </si>
  <si>
    <t>43.08M</t>
  </si>
  <si>
    <t>MBAIF</t>
  </si>
  <si>
    <t>CIBT Education Group Inc.</t>
  </si>
  <si>
    <t>36.903M</t>
  </si>
  <si>
    <t>WAFU</t>
  </si>
  <si>
    <t>Wah Fu Education Group Limited</t>
  </si>
  <si>
    <t>26.856M</t>
  </si>
  <si>
    <t>CLEU</t>
  </si>
  <si>
    <t>China Liberal Education Holdings Limited</t>
  </si>
  <si>
    <t>26.03M</t>
  </si>
  <si>
    <t>OTED</t>
  </si>
  <si>
    <t>Oak Tree Educational Partners, Inc.</t>
  </si>
  <si>
    <t>16.057M</t>
  </si>
  <si>
    <t>CATG</t>
  </si>
  <si>
    <t>Capstone Technologies Group, Inc.</t>
  </si>
  <si>
    <t>15.937M</t>
  </si>
  <si>
    <t>GPLA</t>
  </si>
  <si>
    <t>GamePlan, Inc.</t>
  </si>
  <si>
    <t>10.608M</t>
  </si>
  <si>
    <t>PCSV</t>
  </si>
  <si>
    <t>PCS Edventures!.com, Inc.</t>
  </si>
  <si>
    <t>5.788M</t>
  </si>
  <si>
    <t>LTRE</t>
  </si>
  <si>
    <t>Learning Tree International, Inc.</t>
  </si>
  <si>
    <t>6.612M</t>
  </si>
  <si>
    <t>NAUH</t>
  </si>
  <si>
    <t>National American University Holdings, Inc.</t>
  </si>
  <si>
    <t>6.591M</t>
  </si>
  <si>
    <t>UMEWF</t>
  </si>
  <si>
    <t>UMeWorld Limited</t>
  </si>
  <si>
    <t>5.333M</t>
  </si>
  <si>
    <t>CHNUF</t>
  </si>
  <si>
    <t>China Education Resources Inc.</t>
  </si>
  <si>
    <t>4.074M</t>
  </si>
  <si>
    <t>LEAI</t>
  </si>
  <si>
    <t>Legacy Education Alliance, Inc.</t>
  </si>
  <si>
    <t>2.568M</t>
  </si>
  <si>
    <t>VRED</t>
  </si>
  <si>
    <t>Virtual Ed Link, Inc.</t>
  </si>
  <si>
    <t>2.256M</t>
  </si>
  <si>
    <t>CLCN</t>
  </si>
  <si>
    <t>Creative Learning Corporation</t>
  </si>
  <si>
    <t>2.128M</t>
  </si>
  <si>
    <t>TIGE</t>
  </si>
  <si>
    <t>Tigrent Inc.</t>
  </si>
  <si>
    <t>1.047M</t>
  </si>
  <si>
    <t>EDMCQ</t>
  </si>
  <si>
    <t>Education Management Corporation</t>
  </si>
  <si>
    <t>756,356</t>
  </si>
  <si>
    <t>SIBE</t>
  </si>
  <si>
    <t>Sibling Group Holdings, Inc.</t>
  </si>
  <si>
    <t>169,223</t>
  </si>
  <si>
    <t>EVCI</t>
  </si>
  <si>
    <t>EVCI Career Colleges Holding Corp.</t>
  </si>
  <si>
    <t>107,515</t>
  </si>
  <si>
    <t>ISTC</t>
  </si>
  <si>
    <t>Instructivision, Inc.</t>
  </si>
  <si>
    <t>67,000</t>
  </si>
  <si>
    <t>VCTL</t>
  </si>
  <si>
    <t>Rainmaker Systems, Inc.</t>
  </si>
  <si>
    <t>45,632</t>
  </si>
  <si>
    <t>MMTS</t>
  </si>
  <si>
    <t>Multi-Media Tutorial Services, Inc.</t>
  </si>
  <si>
    <t>37,946</t>
  </si>
  <si>
    <t>PBYA</t>
  </si>
  <si>
    <t>ProBility Media Corporation</t>
  </si>
  <si>
    <t>11,065</t>
  </si>
  <si>
    <t>ESINQ</t>
  </si>
  <si>
    <t>ITT Educational Services, Inc.</t>
  </si>
  <si>
    <t>9,995</t>
  </si>
  <si>
    <t>CCHZ</t>
  </si>
  <si>
    <t>Career College Holding Co., Inc.</t>
  </si>
  <si>
    <t>The Accommodation and Food Services</t>
  </si>
  <si>
    <t>The Accommodation and Food Services sector comprises establishments providing customers with lodging and/or preparing meals, snacks, and beverages for immediate consumption. The sector includes both accommodation and food services establishments because the two activities are often combined at the same establishment.</t>
  </si>
  <si>
    <t>MCD US Equity</t>
  </si>
  <si>
    <t>MCDONALD'S CORP</t>
  </si>
  <si>
    <t>SBUX US Equity</t>
  </si>
  <si>
    <t>STARBUCKS CORP</t>
  </si>
  <si>
    <t>CMG US Equity</t>
  </si>
  <si>
    <t>CHIPOTLE MEXICAN GRILL INC</t>
  </si>
  <si>
    <t>YUM US Equity</t>
  </si>
  <si>
    <t>YUM! BRANDS INC</t>
  </si>
  <si>
    <t>DPZ US Equity</t>
  </si>
  <si>
    <t>DOMINO'S PIZZA INC</t>
  </si>
  <si>
    <t>DRI US Equity</t>
  </si>
  <si>
    <t>DARDEN RESTAURANTS INC</t>
  </si>
  <si>
    <t>TXRH US Equity</t>
  </si>
  <si>
    <t>TEXAS ROADHOUSE INC</t>
  </si>
  <si>
    <t>ICTPU US Equity</t>
  </si>
  <si>
    <t>AMERICAN RESTAURANT PRTNR LP</t>
  </si>
  <si>
    <t>WING US Equity</t>
  </si>
  <si>
    <t>WINGSTOP INC</t>
  </si>
  <si>
    <t>WEN US Equity</t>
  </si>
  <si>
    <t>WENDY'S CO/THE</t>
  </si>
  <si>
    <t>PZZA US Equity</t>
  </si>
  <si>
    <t>PAPA JOHN'S INTL INC</t>
  </si>
  <si>
    <t>SHAK US Equity</t>
  </si>
  <si>
    <t>SHAKE SHACK INC - CLASS A</t>
  </si>
  <si>
    <t>LKNCY US Equity</t>
  </si>
  <si>
    <t>LUCKIN COFFEE INC - ADR</t>
  </si>
  <si>
    <t>CBRL US Equity</t>
  </si>
  <si>
    <t>CRACKER BARREL OLD COUNTRY</t>
  </si>
  <si>
    <t>CNNE US Equity</t>
  </si>
  <si>
    <t>CANNAE HOLDINGS INC</t>
  </si>
  <si>
    <t>EAT US Equity</t>
  </si>
  <si>
    <t>BRINKER INTERNATIONAL INC</t>
  </si>
  <si>
    <t>BLMN US Equity</t>
  </si>
  <si>
    <t>BLOOMIN' BRANDS INC</t>
  </si>
  <si>
    <t>JACK US Equity</t>
  </si>
  <si>
    <t>JACK IN THE BOX INC</t>
  </si>
  <si>
    <t>CAKE US Equity</t>
  </si>
  <si>
    <t>CHEESECAKE FACTORY INC/THE</t>
  </si>
  <si>
    <t>PLAY US Equity</t>
  </si>
  <si>
    <t>DAVE &amp; BUSTER'S ENTERTAINMEN</t>
  </si>
  <si>
    <t>DIN US Equity</t>
  </si>
  <si>
    <t>DINE BRANDS GLOBAL INC</t>
  </si>
  <si>
    <t>ARCO US Equity</t>
  </si>
  <si>
    <t>ARCOS DORADOS HOLDINGS INC-A</t>
  </si>
  <si>
    <t>DENN US Equity</t>
  </si>
  <si>
    <t>DENNY'S CORP</t>
  </si>
  <si>
    <t>BJRI US Equity</t>
  </si>
  <si>
    <t>BJ'S RESTAURANTS INC</t>
  </si>
  <si>
    <t>RUTH US Equity</t>
  </si>
  <si>
    <t>RUTH'S HOSPITALITY GROUP INC</t>
  </si>
  <si>
    <t>LOCO US Equity</t>
  </si>
  <si>
    <t>EL POLLO LOCO HOLDINGS INC</t>
  </si>
  <si>
    <t>CHUY US Equity</t>
  </si>
  <si>
    <t>CHUY'S HOLDINGS INC</t>
  </si>
  <si>
    <t>NDLS US Equity</t>
  </si>
  <si>
    <t>NOODLES &amp; CO</t>
  </si>
  <si>
    <t>BH US Equity</t>
  </si>
  <si>
    <t>BIGLARI HOLDINGS INC-B</t>
  </si>
  <si>
    <t>KRUS US Equity</t>
  </si>
  <si>
    <t>KURA SUSHI USA INC-CLASS A</t>
  </si>
  <si>
    <t>RRGB US Equity</t>
  </si>
  <si>
    <t>RED ROBIN GOURMET BURGERS</t>
  </si>
  <si>
    <t>FRGI US Equity</t>
  </si>
  <si>
    <t>FIESTA RESTAURANT GROUP</t>
  </si>
  <si>
    <t>TACO US Equity</t>
  </si>
  <si>
    <t>DEL TACO RESTAURANTS INC</t>
  </si>
  <si>
    <t>STKS US Equity</t>
  </si>
  <si>
    <t>ONE GROUP HOSPITALITY INC/TH</t>
  </si>
  <si>
    <t>TAST US Equity</t>
  </si>
  <si>
    <t>CARROLS RESTAURANT GROUP INC</t>
  </si>
  <si>
    <t>JAX US Equity</t>
  </si>
  <si>
    <t>J ALEXANDER'S HOLDINGS</t>
  </si>
  <si>
    <t>PBPB US Equity</t>
  </si>
  <si>
    <t>POTBELLY CORP</t>
  </si>
  <si>
    <t>WTRH US Equity</t>
  </si>
  <si>
    <t>WAITR HOLDINGS INC</t>
  </si>
  <si>
    <t>FAT US Equity</t>
  </si>
  <si>
    <t>FAT BRANDS INC</t>
  </si>
  <si>
    <t>LUB US Equity</t>
  </si>
  <si>
    <t>LUBY'S INC</t>
  </si>
  <si>
    <t>BBQ US Equity</t>
  </si>
  <si>
    <t>BBQ HOLDINGS INC</t>
  </si>
  <si>
    <t>MHGU US Equity</t>
  </si>
  <si>
    <t>MERITAGE HOSPITALITY GROUP</t>
  </si>
  <si>
    <t>BDL US Equity</t>
  </si>
  <si>
    <t>FLANIGAN'S ENTERPRISES INC</t>
  </si>
  <si>
    <t>ARKR US Equity</t>
  </si>
  <si>
    <t>ARK RESTAURANTS CORP</t>
  </si>
  <si>
    <t>GTIM US Equity</t>
  </si>
  <si>
    <t>GOOD TIMES RESTAURANTS INC</t>
  </si>
  <si>
    <t>KITL US Equity</t>
  </si>
  <si>
    <t>KISSES FROM ITALY INC</t>
  </si>
  <si>
    <t>HBIS US Equity</t>
  </si>
  <si>
    <t>HOME BISTRO INC</t>
  </si>
  <si>
    <t>RAVE US Equity</t>
  </si>
  <si>
    <t>RAVE RESTAURANT GROUP INC</t>
  </si>
  <si>
    <t>GRIL US Equity</t>
  </si>
  <si>
    <t>MUSCLE MAKER INC</t>
  </si>
  <si>
    <t>NROM US Equity</t>
  </si>
  <si>
    <t>NOBLE ROMANS INC</t>
  </si>
  <si>
    <t>ARAT US Equity</t>
  </si>
  <si>
    <t>ARAX HOLDINGS CORP</t>
  </si>
  <si>
    <t>The Real Estate and Rental and Leasing sector comprises establishments primarily engaged in renting, leasing, or otherwise allowing the use of tangible or intangible assets, and establishments providing related services. The major portion of this sector comprises establishments that rent, lease, or otherwise allow the use of their own assets by others. The assets may be tangible, as is the case of real estate and equipment, or intangible, as is the case with patents and trademarks.
This sector also includes establishments primarily engaged in managing real estate for others, selling, renting and/or buying real estate for others, and appraising real estate. These activities are closely related to this sector's main activity, and from a production basis they are included here. In addition, a substantial proportion of property management is self-performed by lessors.
The main components of this sector are the real estate lessors industries (including equity real estate investment trusts (REITs)); equipment lessors industries (including motor vehicles, computers, and consumer goods); and lessors of nonfinancial intangible assets (except copyrighted works).
Excluded from this sector are establishments primarily engaged in renting or leasing equipment with operators. Establishments renting or leasing equipment with operators are classified in various subsectors of NAICS depending on the nature of the services provided (e.g., transportation, construction, agriculture). These activities are excluded from this sector because the client is paying for the expertise and knowledge of the equipment operator, in addition to the rental of the equipment. In many cases, such as the rental of heavy construction equipment, the operator is essential to operate the equipment.</t>
  </si>
  <si>
    <t>BEKE</t>
  </si>
  <si>
    <t>KE Holdings Inc.</t>
  </si>
  <si>
    <t>81.277B</t>
  </si>
  <si>
    <t>CSGP</t>
  </si>
  <si>
    <t>CoStar Group, Inc.</t>
  </si>
  <si>
    <t>36.461B</t>
  </si>
  <si>
    <t>EQR</t>
  </si>
  <si>
    <t>Equity Residential</t>
  </si>
  <si>
    <t>24.87B</t>
  </si>
  <si>
    <t>AVB</t>
  </si>
  <si>
    <t>AvalonBay Communities, Inc.</t>
  </si>
  <si>
    <t>24.55B</t>
  </si>
  <si>
    <t>BXP-PB</t>
  </si>
  <si>
    <t>Boston Properties, Inc.</t>
  </si>
  <si>
    <t>24.03B</t>
  </si>
  <si>
    <t>ASHTY</t>
  </si>
  <si>
    <t>Ashtead Group plc</t>
  </si>
  <si>
    <t>23.681B</t>
  </si>
  <si>
    <t>ARE</t>
  </si>
  <si>
    <t>Alexandria Real Estate Equities, Inc.</t>
  </si>
  <si>
    <t>23.636B</t>
  </si>
  <si>
    <t>ASHTF</t>
  </si>
  <si>
    <t>23.055B</t>
  </si>
  <si>
    <t>CBRE</t>
  </si>
  <si>
    <t>CBRE Group, Inc.</t>
  </si>
  <si>
    <t>22.845B</t>
  </si>
  <si>
    <t>URI</t>
  </si>
  <si>
    <t>United Rentals, Inc.</t>
  </si>
  <si>
    <t>19.987B</t>
  </si>
  <si>
    <t>HLDCY</t>
  </si>
  <si>
    <t>Henderson Land Development Company Limited</t>
  </si>
  <si>
    <t>19.357B</t>
  </si>
  <si>
    <t>OPEN</t>
  </si>
  <si>
    <t>Opendoor Technologies Inc.</t>
  </si>
  <si>
    <t>16.932B</t>
  </si>
  <si>
    <t>ESS</t>
  </si>
  <si>
    <t>Essex Property Trust, Inc.</t>
  </si>
  <si>
    <t>17.455B</t>
  </si>
  <si>
    <t>INVH</t>
  </si>
  <si>
    <t>Invitation Homes Inc.</t>
  </si>
  <si>
    <t>17.124B</t>
  </si>
  <si>
    <t>WRFRF</t>
  </si>
  <si>
    <t>Wharf Real Estate Investment Company Limited</t>
  </si>
  <si>
    <t>16.878B</t>
  </si>
  <si>
    <t>BPY</t>
  </si>
  <si>
    <t>Brookfield Property Partners L.P.</t>
  </si>
  <si>
    <t>16.241B</t>
  </si>
  <si>
    <t>SUI</t>
  </si>
  <si>
    <t>Sun Communities, Inc.</t>
  </si>
  <si>
    <t>16.054B</t>
  </si>
  <si>
    <t>SWPFF</t>
  </si>
  <si>
    <t>Swire Properties Limited</t>
  </si>
  <si>
    <t>15.753B</t>
  </si>
  <si>
    <t>MAA</t>
  </si>
  <si>
    <t>Mid-America Apartment Communities, Inc.</t>
  </si>
  <si>
    <t>15.589B</t>
  </si>
  <si>
    <t>BXP</t>
  </si>
  <si>
    <t>14.742B</t>
  </si>
  <si>
    <t>VNO-PM</t>
  </si>
  <si>
    <t>Vornado Realty Trust</t>
  </si>
  <si>
    <t>14.562B</t>
  </si>
  <si>
    <t>MAA-PI</t>
  </si>
  <si>
    <t>14.442B</t>
  </si>
  <si>
    <t>VNO-PL</t>
  </si>
  <si>
    <t>13.869B</t>
  </si>
  <si>
    <t>NLY-PG</t>
  </si>
  <si>
    <t>Annaly Capital Management, Inc.</t>
  </si>
  <si>
    <t>13.568B</t>
  </si>
  <si>
    <t>UDR</t>
  </si>
  <si>
    <t>UDR, Inc.</t>
  </si>
  <si>
    <t>HLPPY</t>
  </si>
  <si>
    <t>Hang Lung Properties Limited</t>
  </si>
  <si>
    <t>12.067B</t>
  </si>
  <si>
    <t>NLY</t>
  </si>
  <si>
    <t>12.109B</t>
  </si>
  <si>
    <t>HLPPF</t>
  </si>
  <si>
    <t>11.836B</t>
  </si>
  <si>
    <t>ELS</t>
  </si>
  <si>
    <t>Equity LifeStyle Properties, Inc.</t>
  </si>
  <si>
    <t>11.572B</t>
  </si>
  <si>
    <t>CPT</t>
  </si>
  <si>
    <t>Camden Property Trust</t>
  </si>
  <si>
    <t>10.283B</t>
  </si>
  <si>
    <t>AMH</t>
  </si>
  <si>
    <t>American Homes 4 Rent</t>
  </si>
  <si>
    <t>9.953B</t>
  </si>
  <si>
    <t>UHAL</t>
  </si>
  <si>
    <t>AMERCO</t>
  </si>
  <si>
    <t>9.785B</t>
  </si>
  <si>
    <t>AANNF</t>
  </si>
  <si>
    <t>Aroundtown SA</t>
  </si>
  <si>
    <t>9.556B</t>
  </si>
  <si>
    <t>LZRFY</t>
  </si>
  <si>
    <t>Localiza Rent a Car S.A.</t>
  </si>
  <si>
    <t>9.413B</t>
  </si>
  <si>
    <t>EXPI</t>
  </si>
  <si>
    <t>eXp World Holdings, Inc.</t>
  </si>
  <si>
    <t>9.537B</t>
  </si>
  <si>
    <t>AMH-PH</t>
  </si>
  <si>
    <t>9.279B</t>
  </si>
  <si>
    <t>RDFN</t>
  </si>
  <si>
    <t>Redfin Corporation</t>
  </si>
  <si>
    <t>8.879B</t>
  </si>
  <si>
    <t>AGNC</t>
  </si>
  <si>
    <t>AGNC Investment Corp.</t>
  </si>
  <si>
    <t>8.837B</t>
  </si>
  <si>
    <t>VNORP</t>
  </si>
  <si>
    <t>8.102B</t>
  </si>
  <si>
    <t>JLL</t>
  </si>
  <si>
    <t>Jones Lang LaSalle Incorporated</t>
  </si>
  <si>
    <t>7.917B</t>
  </si>
  <si>
    <t>VNO</t>
  </si>
  <si>
    <t>7.44B</t>
  </si>
  <si>
    <t>SWPRF</t>
  </si>
  <si>
    <t>Swiss Prime Site AG</t>
  </si>
  <si>
    <t>7.438B</t>
  </si>
  <si>
    <t>SLG-PI</t>
  </si>
  <si>
    <t>SL Green Realty Corp.</t>
  </si>
  <si>
    <t>7.347B</t>
  </si>
  <si>
    <t>KRC</t>
  </si>
  <si>
    <t>Kilroy Realty Corporation</t>
  </si>
  <si>
    <t>7.058B</t>
  </si>
  <si>
    <t>CDPYF</t>
  </si>
  <si>
    <t>Canadian Apartment Properties Real Estate Investment Trust</t>
  </si>
  <si>
    <t>6.92B</t>
  </si>
  <si>
    <t>WARFY</t>
  </si>
  <si>
    <t>Wharf (Holdings) Limited</t>
  </si>
  <si>
    <t>FSV</t>
  </si>
  <si>
    <t>FirstService Corporation</t>
  </si>
  <si>
    <t>6.688B</t>
  </si>
  <si>
    <t>AIRC</t>
  </si>
  <si>
    <t>Apartment Income REIT Corp.</t>
  </si>
  <si>
    <t>6.402B</t>
  </si>
  <si>
    <t>WSC</t>
  </si>
  <si>
    <t>WillScot Mobile Mini Holdings Corp.</t>
  </si>
  <si>
    <t>6.149B</t>
  </si>
  <si>
    <t>STWD</t>
  </si>
  <si>
    <t>Starwood Property Trust, Inc.</t>
  </si>
  <si>
    <t>ACC</t>
  </si>
  <si>
    <t>American Campus Communities, Inc.</t>
  </si>
  <si>
    <t>5.918B</t>
  </si>
  <si>
    <t>COR</t>
  </si>
  <si>
    <t>CoreSite Realty Corporation</t>
  </si>
  <si>
    <t>5.369B</t>
  </si>
  <si>
    <t>DEI</t>
  </si>
  <si>
    <t>Douglas Emmett, Inc.</t>
  </si>
  <si>
    <t>5.191B</t>
  </si>
  <si>
    <t>TNHDF</t>
  </si>
  <si>
    <t>Times Neighborhood Holdings Limited</t>
  </si>
  <si>
    <t>807.748M</t>
  </si>
  <si>
    <t>CUZ</t>
  </si>
  <si>
    <t>Cousins Properties Incorporated</t>
  </si>
  <si>
    <t>5.045B</t>
  </si>
  <si>
    <t>AL</t>
  </si>
  <si>
    <t>Air Lease Corporation</t>
  </si>
  <si>
    <t>4.954B</t>
  </si>
  <si>
    <t>EQC-PD</t>
  </si>
  <si>
    <t>Equity Commonwealth</t>
  </si>
  <si>
    <t>4.528B</t>
  </si>
  <si>
    <t>SLG</t>
  </si>
  <si>
    <t>4.496B</t>
  </si>
  <si>
    <t>AL-PA</t>
  </si>
  <si>
    <t>JBGS</t>
  </si>
  <si>
    <t>JBG SMITH Properties</t>
  </si>
  <si>
    <t>4.287B</t>
  </si>
  <si>
    <t>HIW</t>
  </si>
  <si>
    <t>Highwoods Properties, Inc.</t>
  </si>
  <si>
    <t>4.19B</t>
  </si>
  <si>
    <t>BXMT</t>
  </si>
  <si>
    <t>Blackstone Mortgage Trust, Inc.</t>
  </si>
  <si>
    <t>4.14B</t>
  </si>
  <si>
    <t>NRZ</t>
  </si>
  <si>
    <t>New Residential Investment Corp.</t>
  </si>
  <si>
    <t>4.087B</t>
  </si>
  <si>
    <t>CIGI</t>
  </si>
  <si>
    <t>Colliers International Group Inc.</t>
  </si>
  <si>
    <t>3.915B</t>
  </si>
  <si>
    <t>HPP</t>
  </si>
  <si>
    <t>Hudson Pacific Properties, Inc.</t>
  </si>
  <si>
    <t>3.816B</t>
  </si>
  <si>
    <t>R</t>
  </si>
  <si>
    <t>Ryder System, Inc.</t>
  </si>
  <si>
    <t>3.726B</t>
  </si>
  <si>
    <t>PRG</t>
  </si>
  <si>
    <t>PROG Holdings, Inc.</t>
  </si>
  <si>
    <t>3.73B</t>
  </si>
  <si>
    <t>APYRF</t>
  </si>
  <si>
    <t>Allied Properties Real Estate Investment Trust</t>
  </si>
  <si>
    <t>3.61B</t>
  </si>
  <si>
    <t>EQC</t>
  </si>
  <si>
    <t>3.555B</t>
  </si>
  <si>
    <t>TRTN</t>
  </si>
  <si>
    <t>Triton International Limited</t>
  </si>
  <si>
    <t>3.523B</t>
  </si>
  <si>
    <t>VGPBF</t>
  </si>
  <si>
    <t>VGP NV</t>
  </si>
  <si>
    <t>3.473B</t>
  </si>
  <si>
    <t>CWK</t>
  </si>
  <si>
    <t>Cushman &amp; Wakefield plc</t>
  </si>
  <si>
    <t>3.469B</t>
  </si>
  <si>
    <t>GATX</t>
  </si>
  <si>
    <t>GATX Corporation</t>
  </si>
  <si>
    <t>3.387B</t>
  </si>
  <si>
    <t>TWO-PB</t>
  </si>
  <si>
    <t>Two Harbors Investment Corp.</t>
  </si>
  <si>
    <t>3.307B</t>
  </si>
  <si>
    <t>CIM-PC</t>
  </si>
  <si>
    <t>Chimera Investment Corporation</t>
  </si>
  <si>
    <t>3.295B</t>
  </si>
  <si>
    <t>TWO-PA</t>
  </si>
  <si>
    <t>3.285B</t>
  </si>
  <si>
    <t>MFA-PB</t>
  </si>
  <si>
    <t>MFA Financial, Inc.</t>
  </si>
  <si>
    <t>3.157B</t>
  </si>
  <si>
    <t>KREVF</t>
  </si>
  <si>
    <t>Keppel REIT</t>
  </si>
  <si>
    <t>3.004B</t>
  </si>
  <si>
    <t>CAR</t>
  </si>
  <si>
    <t>Avis Budget Group, Inc.</t>
  </si>
  <si>
    <t>3.015B</t>
  </si>
  <si>
    <t>OFC</t>
  </si>
  <si>
    <t>Corporate Office Properties Trust</t>
  </si>
  <si>
    <t>3.007B</t>
  </si>
  <si>
    <t>RNHEF</t>
  </si>
  <si>
    <t>China Dili Group</t>
  </si>
  <si>
    <t>3.052B</t>
  </si>
  <si>
    <t>RCII</t>
  </si>
  <si>
    <t>Rent-A-Center, Inc.</t>
  </si>
  <si>
    <t>2.835B</t>
  </si>
  <si>
    <t>CIM</t>
  </si>
  <si>
    <t>2.601B</t>
  </si>
  <si>
    <t>KW</t>
  </si>
  <si>
    <t>Kennedy-Wilson Holdings, Inc.</t>
  </si>
  <si>
    <t>2.53B</t>
  </si>
  <si>
    <t>TRTN-PA</t>
  </si>
  <si>
    <t>2.473B</t>
  </si>
  <si>
    <t>FTAI</t>
  </si>
  <si>
    <t>Fortress Transportation and Infrastructure Investors LLC</t>
  </si>
  <si>
    <t>2.395B</t>
  </si>
  <si>
    <t>XMEX</t>
  </si>
  <si>
    <t>Xemex Group, Inc.</t>
  </si>
  <si>
    <t>423.061M</t>
  </si>
  <si>
    <t>KWLGF</t>
  </si>
  <si>
    <t>KWG Living Group Holdings Limited</t>
  </si>
  <si>
    <t>2.324B</t>
  </si>
  <si>
    <t>ARGKF</t>
  </si>
  <si>
    <t>Aggreko Plc</t>
  </si>
  <si>
    <t>2.202B</t>
  </si>
  <si>
    <t>HRI</t>
  </si>
  <si>
    <t>Herc Holdings Inc.</t>
  </si>
  <si>
    <t>PDM</t>
  </si>
  <si>
    <t>Piedmont Office Realty Trust, Inc.</t>
  </si>
  <si>
    <t>2.107B</t>
  </si>
  <si>
    <t>BDN</t>
  </si>
  <si>
    <t>Brandywine Realty Trust</t>
  </si>
  <si>
    <t>2.013B</t>
  </si>
  <si>
    <t>PGRE</t>
  </si>
  <si>
    <t>Paramount Group, Inc.</t>
  </si>
  <si>
    <t>2.01B</t>
  </si>
  <si>
    <t>IVR-PA</t>
  </si>
  <si>
    <t>Invesco Mortgage Capital Inc.</t>
  </si>
  <si>
    <t>2.007B</t>
  </si>
  <si>
    <t>PLD US Equity</t>
  </si>
  <si>
    <t>PROLOGIS INC</t>
  </si>
  <si>
    <t>89.60B</t>
  </si>
  <si>
    <t>CCI US Equity</t>
  </si>
  <si>
    <t>CROWN CASTLE INT</t>
  </si>
  <si>
    <t>84.71B</t>
  </si>
  <si>
    <t>EQIX US Equity</t>
  </si>
  <si>
    <t>EQUINIX INC</t>
  </si>
  <si>
    <t>71.98B</t>
  </si>
  <si>
    <t>PSA US Equity</t>
  </si>
  <si>
    <t>PUBLIC STORAGE</t>
  </si>
  <si>
    <t>53.15B</t>
  </si>
  <si>
    <t>DLR US Equity</t>
  </si>
  <si>
    <t>DIGITAL REALTY</t>
  </si>
  <si>
    <t>43.96B</t>
  </si>
  <si>
    <t>SPG US Equity</t>
  </si>
  <si>
    <t>SIMON PROPERTY</t>
  </si>
  <si>
    <t>43.44B</t>
  </si>
  <si>
    <t>WELL US Equity</t>
  </si>
  <si>
    <t>WELLTOWER INC</t>
  </si>
  <si>
    <t>SBAC US Equity</t>
  </si>
  <si>
    <t>SBA COMM CORP</t>
  </si>
  <si>
    <t>34.69B</t>
  </si>
  <si>
    <t>AVB US Equity</t>
  </si>
  <si>
    <t>AVALONBAY COMMUN</t>
  </si>
  <si>
    <t>29.70B</t>
  </si>
  <si>
    <t>EQR US Equity</t>
  </si>
  <si>
    <t>EQUITY RESIDENTI</t>
  </si>
  <si>
    <t>29.56B</t>
  </si>
  <si>
    <t>CBRE US Equity</t>
  </si>
  <si>
    <t>CBRE GROUP INC-A</t>
  </si>
  <si>
    <t>29.06B</t>
  </si>
  <si>
    <t>ARE US Equity</t>
  </si>
  <si>
    <t>ALEXANDRIA REAL</t>
  </si>
  <si>
    <t>28.42B</t>
  </si>
  <si>
    <t>WY US Equity</t>
  </si>
  <si>
    <t>WEYERHAEUSER CO</t>
  </si>
  <si>
    <t>25.41B</t>
  </si>
  <si>
    <t>O US Equity</t>
  </si>
  <si>
    <t>REALTY INCOME</t>
  </si>
  <si>
    <t>25.19B</t>
  </si>
  <si>
    <t>BPYU US Equity</t>
  </si>
  <si>
    <t>BROOKFIELD PRO-A</t>
  </si>
  <si>
    <t>22.45B</t>
  </si>
  <si>
    <t>VTR US Equity</t>
  </si>
  <si>
    <t>VENTAS INC</t>
  </si>
  <si>
    <t>22.22B</t>
  </si>
  <si>
    <t>EXR US Equity</t>
  </si>
  <si>
    <t>EXTRA SPACE STOR</t>
  </si>
  <si>
    <t>22.04B</t>
  </si>
  <si>
    <t>BPY-U CN Equity</t>
  </si>
  <si>
    <t>BROOKFIELD PROPE</t>
  </si>
  <si>
    <t>21.97B</t>
  </si>
  <si>
    <t>INVH US Equity</t>
  </si>
  <si>
    <t>INVITATION HOMES</t>
  </si>
  <si>
    <t>21.35B</t>
  </si>
  <si>
    <t>ESS US Equity</t>
  </si>
  <si>
    <t>ESSEX PROPERTY</t>
  </si>
  <si>
    <t>19.98B</t>
  </si>
  <si>
    <t>SUI US Equity</t>
  </si>
  <si>
    <t>SUN COMMUNITIES</t>
  </si>
  <si>
    <t>19.51B</t>
  </si>
  <si>
    <t>MAA US Equity</t>
  </si>
  <si>
    <t>MID-AMERICA APAR</t>
  </si>
  <si>
    <t>19.40B</t>
  </si>
  <si>
    <t>BXP US Equity</t>
  </si>
  <si>
    <t>BOSTON PROPERTIE</t>
  </si>
  <si>
    <t>18.53B</t>
  </si>
  <si>
    <t>PEAK US Equity</t>
  </si>
  <si>
    <t>HEALTHPEAK PROPE</t>
  </si>
  <si>
    <t>18.24B</t>
  </si>
  <si>
    <t>DRE US Equity</t>
  </si>
  <si>
    <t>DUKE REALTY CORP</t>
  </si>
  <si>
    <t>17.97B</t>
  </si>
  <si>
    <t>VICI US Equity</t>
  </si>
  <si>
    <t>VICI PROPERTIES</t>
  </si>
  <si>
    <t>UDR US Equity</t>
  </si>
  <si>
    <t>UDR INC</t>
  </si>
  <si>
    <t>14.72B</t>
  </si>
  <si>
    <t>WPC US Equity</t>
  </si>
  <si>
    <t>WP CAREY INC</t>
  </si>
  <si>
    <t>14.27B</t>
  </si>
  <si>
    <t>ELS US Equity</t>
  </si>
  <si>
    <t>EQUITY LIFESTYLE</t>
  </si>
  <si>
    <t>13.81B</t>
  </si>
  <si>
    <t>CPT US Equity</t>
  </si>
  <si>
    <t>CAMDEN PROP TR</t>
  </si>
  <si>
    <t>13.22B</t>
  </si>
  <si>
    <t>AMH US Equity</t>
  </si>
  <si>
    <t>AMERICAN HOMES-A</t>
  </si>
  <si>
    <t>12.77B</t>
  </si>
  <si>
    <t>IRM US Equity</t>
  </si>
  <si>
    <t>IRON MOUNTAIN</t>
  </si>
  <si>
    <t>12.56B</t>
  </si>
  <si>
    <t>HST US Equity</t>
  </si>
  <si>
    <t>HOST HOTELS &amp; RE</t>
  </si>
  <si>
    <t>12.43B</t>
  </si>
  <si>
    <t>MPW US Equity</t>
  </si>
  <si>
    <t>MEDICAL PROPERTI</t>
  </si>
  <si>
    <t>11.92B</t>
  </si>
  <si>
    <t>REG US Equity</t>
  </si>
  <si>
    <t>REGENCY CENTERS</t>
  </si>
  <si>
    <t>11.02B</t>
  </si>
  <si>
    <t>GLPI US Equity</t>
  </si>
  <si>
    <t>GAMING AND LEISU</t>
  </si>
  <si>
    <t>10.73B</t>
  </si>
  <si>
    <t>VER US Equity</t>
  </si>
  <si>
    <t>VEREIT INC</t>
  </si>
  <si>
    <t>10.71B</t>
  </si>
  <si>
    <t>LAMR US Equity</t>
  </si>
  <si>
    <t>LAMAR ADVERTIS-A</t>
  </si>
  <si>
    <t>10.49B</t>
  </si>
  <si>
    <t>JLL US Equity</t>
  </si>
  <si>
    <t>JONES LANG LASAL</t>
  </si>
  <si>
    <t>10.42B</t>
  </si>
  <si>
    <t>AMT US</t>
  </si>
  <si>
    <t>American Tower</t>
  </si>
  <si>
    <t>119B</t>
  </si>
  <si>
    <t>The Information sector comprises establishments engaged in the following processes: (a) producing and distributing information and cultural products, (b) providing the means to transmit or distribute these products as well as data or communications, and (c) processing data.
The main components of this sector are the publishing industries, including software publishing, and both traditional publishing and publishing exclusively on the Internet; the motion picture and sound recording industries; the broadcasting industries, including traditional broadcasting and those broadcasting exclusively over the Internet; the telecommunications industries; Web search portals, data processing industries, and the information services industries.
The Information sector groups three types of establishments: (1) those engaged in producing and distributing information and cultural products; (2) those that provide the means to transmit or distribute these products as well as data or communications; and (3) those that process data.</t>
  </si>
  <si>
    <t>GOOG</t>
  </si>
  <si>
    <t>Alphabet Inc.</t>
  </si>
  <si>
    <t>1.409T</t>
  </si>
  <si>
    <t>FB</t>
  </si>
  <si>
    <t>Facebook, Inc.</t>
  </si>
  <si>
    <t>774.196B</t>
  </si>
  <si>
    <t>DIS</t>
  </si>
  <si>
    <t>The Walt Disney Company</t>
  </si>
  <si>
    <t>344.038B</t>
  </si>
  <si>
    <t>NFLX</t>
  </si>
  <si>
    <t>Netflix, Inc.</t>
  </si>
  <si>
    <t>249.611B</t>
  </si>
  <si>
    <t>CMCSA</t>
  </si>
  <si>
    <t>Comcast Corporation</t>
  </si>
  <si>
    <t>241.63B</t>
  </si>
  <si>
    <t>VZ</t>
  </si>
  <si>
    <t>Verizon Communications Inc.</t>
  </si>
  <si>
    <t>227.424B</t>
  </si>
  <si>
    <t>T</t>
  </si>
  <si>
    <t>AT&amp;T Inc.</t>
  </si>
  <si>
    <t>203.447B</t>
  </si>
  <si>
    <t>TMUS</t>
  </si>
  <si>
    <t>T-Mobile US, Inc.</t>
  </si>
  <si>
    <t>154.593B</t>
  </si>
  <si>
    <t>SE</t>
  </si>
  <si>
    <t>Sea Limited</t>
  </si>
  <si>
    <t>138.718B</t>
  </si>
  <si>
    <t>ABNB</t>
  </si>
  <si>
    <t>Airbnb, Inc.</t>
  </si>
  <si>
    <t>126.456B</t>
  </si>
  <si>
    <t>ZM</t>
  </si>
  <si>
    <t>Zoom Video Communications, Inc.</t>
  </si>
  <si>
    <t>125.804B</t>
  </si>
  <si>
    <t>CHTR</t>
  </si>
  <si>
    <t>Charter Communications, Inc.</t>
  </si>
  <si>
    <t>118.492B</t>
  </si>
  <si>
    <t>SNAP</t>
  </si>
  <si>
    <t>Snap Inc.</t>
  </si>
  <si>
    <t>94.42B</t>
  </si>
  <si>
    <t>ATVI</t>
  </si>
  <si>
    <t>Activision Blizzard, Inc.</t>
  </si>
  <si>
    <t>79.419B</t>
  </si>
  <si>
    <t>TWLO</t>
  </si>
  <si>
    <t>Twilio Inc.</t>
  </si>
  <si>
    <t>69.537B</t>
  </si>
  <si>
    <t>DASH</t>
  </si>
  <si>
    <t>DoorDash, Inc.</t>
  </si>
  <si>
    <t>68.347B</t>
  </si>
  <si>
    <t>SPOT</t>
  </si>
  <si>
    <t>Spotify Technology S.A.</t>
  </si>
  <si>
    <t>63.856B</t>
  </si>
  <si>
    <t>ROKU</t>
  </si>
  <si>
    <t>Roku, Inc.</t>
  </si>
  <si>
    <t>59.618B</t>
  </si>
  <si>
    <t>TWTR</t>
  </si>
  <si>
    <t>Twitter, Inc.</t>
  </si>
  <si>
    <t>53.901B</t>
  </si>
  <si>
    <t>PINS</t>
  </si>
  <si>
    <t>Pinterest, Inc.</t>
  </si>
  <si>
    <t>50.985B</t>
  </si>
  <si>
    <t>MTCH</t>
  </si>
  <si>
    <t>Match Group, Inc.</t>
  </si>
  <si>
    <t>45.502B</t>
  </si>
  <si>
    <t>BECEF</t>
  </si>
  <si>
    <t>BCE Inc.</t>
  </si>
  <si>
    <t>43.12B</t>
  </si>
  <si>
    <t>EA</t>
  </si>
  <si>
    <t>Electronic Arts Inc.</t>
  </si>
  <si>
    <t>41.594B</t>
  </si>
  <si>
    <t>BCE</t>
  </si>
  <si>
    <t>39.488B</t>
  </si>
  <si>
    <t>Z</t>
  </si>
  <si>
    <t>Zillow Group, Inc.</t>
  </si>
  <si>
    <t>38.596B</t>
  </si>
  <si>
    <t>LBRDA</t>
  </si>
  <si>
    <t>Liberty Broadband Corporation</t>
  </si>
  <si>
    <t>35.838B</t>
  </si>
  <si>
    <t>VIAC</t>
  </si>
  <si>
    <t>ViacomCBS Inc.</t>
  </si>
  <si>
    <t>34.92B</t>
  </si>
  <si>
    <t>SIRI</t>
  </si>
  <si>
    <t>Sirius XM Holdings Inc.</t>
  </si>
  <si>
    <t>25.13B</t>
  </si>
  <si>
    <t>TTWO</t>
  </si>
  <si>
    <t>Take-Two Interactive Software, Inc.</t>
  </si>
  <si>
    <t>23.015B</t>
  </si>
  <si>
    <t>IAC</t>
  </si>
  <si>
    <t>IAC/InterActiveCorp</t>
  </si>
  <si>
    <t>22.647B</t>
  </si>
  <si>
    <t>ATUS</t>
  </si>
  <si>
    <t>Altice USA, Inc.</t>
  </si>
  <si>
    <t>21.304B</t>
  </si>
  <si>
    <t>WMG</t>
  </si>
  <si>
    <t>Warner Music Group Corp.</t>
  </si>
  <si>
    <t>20.06B</t>
  </si>
  <si>
    <t>DISCA</t>
  </si>
  <si>
    <t>Discovery, Inc.</t>
  </si>
  <si>
    <t>20.024B</t>
  </si>
  <si>
    <t>FOX</t>
  </si>
  <si>
    <t>Fox Corporation</t>
  </si>
  <si>
    <t>18.526B</t>
  </si>
  <si>
    <t>LYV</t>
  </si>
  <si>
    <t>Live Nation Entertainment, Inc.</t>
  </si>
  <si>
    <t>16.994B</t>
  </si>
  <si>
    <t>DISH</t>
  </si>
  <si>
    <t>DISH Network Corporation</t>
  </si>
  <si>
    <t>16.985B</t>
  </si>
  <si>
    <t>AVIFY</t>
  </si>
  <si>
    <t>Advanced Info Service Public Company Limited</t>
  </si>
  <si>
    <t>16.581B</t>
  </si>
  <si>
    <t>LSXMK</t>
  </si>
  <si>
    <t>The Liberty SiriusXM Group</t>
  </si>
  <si>
    <t>16.379B</t>
  </si>
  <si>
    <t>SKM</t>
  </si>
  <si>
    <t>SK Telecom Co.,Ltd</t>
  </si>
  <si>
    <t>15.799B</t>
  </si>
  <si>
    <t>LBTYB</t>
  </si>
  <si>
    <t>Liberty Global plc</t>
  </si>
  <si>
    <t>14.858B</t>
  </si>
  <si>
    <t>SKLZ</t>
  </si>
  <si>
    <t>Skillz Inc.</t>
  </si>
  <si>
    <t>14.836B</t>
  </si>
  <si>
    <t>Държавни мишки - не се гледат</t>
  </si>
  <si>
    <t>Gambling, Casinos and other Gambling</t>
  </si>
  <si>
    <t>Casinos and Recreation (Resorts)</t>
  </si>
  <si>
    <t>LVS</t>
  </si>
  <si>
    <t>Las Vegas Sands Corp.</t>
  </si>
  <si>
    <t>42.401B</t>
  </si>
  <si>
    <t>DKNG</t>
  </si>
  <si>
    <t>DraftKings Inc.</t>
  </si>
  <si>
    <t>24.564B</t>
  </si>
  <si>
    <t>MGM Resorts International</t>
  </si>
  <si>
    <t>18.014B</t>
  </si>
  <si>
    <t>PENN</t>
  </si>
  <si>
    <t>Penn National Gaming, Inc.</t>
  </si>
  <si>
    <t>17.642B</t>
  </si>
  <si>
    <t>CZR</t>
  </si>
  <si>
    <t>Caesars Entertainment, Inc.</t>
  </si>
  <si>
    <t>WYNN</t>
  </si>
  <si>
    <t>Wynn Resorts, Limited</t>
  </si>
  <si>
    <t>MTN</t>
  </si>
  <si>
    <t>Vail Resorts, Inc.</t>
  </si>
  <si>
    <t>11.629B</t>
  </si>
  <si>
    <t>CHDN</t>
  </si>
  <si>
    <t>Churchill Downs Incorporated</t>
  </si>
  <si>
    <t>8.128B</t>
  </si>
  <si>
    <t>BYD</t>
  </si>
  <si>
    <t>Boyd Gaming Corporation</t>
  </si>
  <si>
    <t>5.992B</t>
  </si>
  <si>
    <t>VAC</t>
  </si>
  <si>
    <t>Marriott Vacations Worldwide Corporation</t>
  </si>
  <si>
    <t>5.87B</t>
  </si>
  <si>
    <t>SGMS</t>
  </si>
  <si>
    <t>Scientific Games Corporation</t>
  </si>
  <si>
    <t>4.362B</t>
  </si>
  <si>
    <t>RSI</t>
  </si>
  <si>
    <t>Rush Street Interactive, Inc.</t>
  </si>
  <si>
    <t>4.151B</t>
  </si>
  <si>
    <t>RRR</t>
  </si>
  <si>
    <t>Red Rock Resorts, Inc.</t>
  </si>
  <si>
    <t>3.272B</t>
  </si>
  <si>
    <t>HGV</t>
  </si>
  <si>
    <t>Hilton Grand Vacations Inc.</t>
  </si>
  <si>
    <t>2.904B</t>
  </si>
  <si>
    <t>Media Entertaintment</t>
  </si>
  <si>
    <t>ATVI US Equity</t>
  </si>
  <si>
    <t>ACTIVISION BLIZZ</t>
  </si>
  <si>
    <t>70.55B</t>
  </si>
  <si>
    <t>RBLX US Equity</t>
  </si>
  <si>
    <t>ROBLOX CORP - A</t>
  </si>
  <si>
    <t>48.36B</t>
  </si>
  <si>
    <t>EA US Equity</t>
  </si>
  <si>
    <t>ELECTRONIC ARTS</t>
  </si>
  <si>
    <t>39.65B</t>
  </si>
  <si>
    <t>APP US Equity</t>
  </si>
  <si>
    <t>APPLOVIN CO-CL A</t>
  </si>
  <si>
    <t>29.72B</t>
  </si>
  <si>
    <t>VIAC US Equity</t>
  </si>
  <si>
    <t>VIACOMCBS INC-B</t>
  </si>
  <si>
    <t>27.20B</t>
  </si>
  <si>
    <t>FOXA US Equity</t>
  </si>
  <si>
    <t>FOX CORP - A</t>
  </si>
  <si>
    <t>21.33B</t>
  </si>
  <si>
    <t>DISCA US Equity</t>
  </si>
  <si>
    <t>DISCOVERY INC -</t>
  </si>
  <si>
    <t>21.12B</t>
  </si>
  <si>
    <t>TTWO US Equity</t>
  </si>
  <si>
    <t>TAKE-TWO INTERAC</t>
  </si>
  <si>
    <t>19.97B</t>
  </si>
  <si>
    <t>WMG US Equity</t>
  </si>
  <si>
    <t>WARNER MUSIC-A</t>
  </si>
  <si>
    <t>17.96B</t>
  </si>
  <si>
    <t>EDR US Equity</t>
  </si>
  <si>
    <t>ENDEAVOR GROUP-A</t>
  </si>
  <si>
    <t>12.16B</t>
  </si>
  <si>
    <t>ZNGA US Equity</t>
  </si>
  <si>
    <t>ZYNGA INC- CL A</t>
  </si>
  <si>
    <t>11.18B</t>
  </si>
  <si>
    <t>DIS US</t>
  </si>
  <si>
    <t>Disney</t>
  </si>
  <si>
    <t>318.56B</t>
  </si>
  <si>
    <t>LYV US</t>
  </si>
  <si>
    <t>Live nation</t>
  </si>
  <si>
    <t>20.11B</t>
  </si>
  <si>
    <t>Netflix</t>
  </si>
  <si>
    <t>354B</t>
  </si>
  <si>
    <t>Spotify</t>
  </si>
  <si>
    <t>68B</t>
  </si>
  <si>
    <t>Managment of Companies</t>
  </si>
  <si>
    <t> Construction</t>
  </si>
  <si>
    <t> Retail Trade</t>
  </si>
  <si>
    <t>January 2022</t>
  </si>
  <si>
    <t>February 2022</t>
  </si>
  <si>
    <t>March 2022</t>
  </si>
  <si>
    <t>STAGE - 1 Sector-trade ideas March - NMI Report</t>
  </si>
  <si>
    <t>Art Entertaintment</t>
  </si>
  <si>
    <t>Health Care</t>
  </si>
  <si>
    <t>Agriculture Forestry …</t>
  </si>
  <si>
    <t>Business Activity</t>
  </si>
  <si>
    <t xml:space="preserve">Real Estate, Rental &amp; Leasing </t>
  </si>
  <si>
    <t>Date</t>
  </si>
  <si>
    <t xml:space="preserve">Supply chain challenges continue at about the same levels as last month. Employment has improved as COVID-19 cases are declining. Restaurant sales have improved since Valentine's Day, with mask and vaccine verification mandates being dropped. </t>
  </si>
  <si>
    <t xml:space="preserve">Grain and fertilizer prices are near all-time highs, resulting in decreased purchasing. </t>
  </si>
  <si>
    <t xml:space="preserve">Labor and inflation continue to push costs higher across the board for food and food-service supplies. </t>
  </si>
  <si>
    <t xml:space="preserve">Pricing pressures are stronger than ever due to the Russia-Ukraine [war], and energy costs are skyrocketing. </t>
  </si>
  <si>
    <t xml:space="preserve">Supply chain disruptions are still a problem due to reduced allocations and manufacturer back orders. Demand continues to outpace manufacturing capacity. </t>
  </si>
  <si>
    <t xml:space="preserve">Energy costs are putting a pinch on all suppliers. We have received many surcharge notices. </t>
  </si>
  <si>
    <t xml:space="preserve">Concerns over inflation and rising energy prices are causing our company to take a cautious approach, especially related to planned capital expenditures. </t>
  </si>
  <si>
    <t xml:space="preserve">Long lead times for electronic components are becoming normal and expected. Chemical deliveries are often delayed due to a lack of qualified hazardous materials drivers. </t>
  </si>
  <si>
    <t xml:space="preserve">Global supply chain issues continue to disrupt chip supply, which is suppressing production of new vehicles. </t>
  </si>
  <si>
    <t xml:space="preserve">We are still seeing raw material subcomponent shortages, transportation delays and price increases. </t>
  </si>
  <si>
    <t xml:space="preserve">Constrained supply of many key product groups continues. Inflation worsening. Overall sales and profitability continue to be strong. </t>
  </si>
  <si>
    <t>Sector</t>
  </si>
  <si>
    <t>Comment</t>
  </si>
  <si>
    <t xml:space="preserve">“Raw material increases, labor shortages, wage increases and transportation issues are still the primary issues affecting our operations and pricing.” </t>
  </si>
  <si>
    <t xml:space="preserve">“Supply chain challenges continue to result in lower inventories of products and higher costs. The challenges are at the highest point since COVID-19 began.” </t>
  </si>
  <si>
    <t xml:space="preserve">“We are projecting 2022 to be busier than 2021. Our business volume should begin to increase significantly in March.” </t>
  </si>
  <si>
    <t xml:space="preserve">“We are getting price increases with no notice. For example, our engineered wood products supplier gave us a 10 percent to 20 percent (based on SKU) increase, effective immediately. We are also struggling to get materials. Suppliers cite poor employee attendance, elevated employee turnover and positions open longer than normal as they struggle to fill them.” </t>
  </si>
  <si>
    <t xml:space="preserve">“Inflation is contributing to budget constraints, supply chain restraints and labor shortages.” </t>
  </si>
  <si>
    <t xml:space="preserve">“Employee turnover within our company and with our suppliers is causing delays in decisions and orders.” </t>
  </si>
  <si>
    <t xml:space="preserve">“As the COVID-19 surge starts to loosen its grip, we are planning to resume elective surgeries soon. Demand is still high, as these procedures were delayed while the surge was occurring.” </t>
  </si>
  <si>
    <t xml:space="preserve">“Business has flattened but holding steady.” </t>
  </si>
  <si>
    <t xml:space="preserve">“Staffing shortages, supply chain disruptions and rising inflation continue to impact the world economy. Companies are struggling to hire direct employees and non-employee labor because wages continue to increase for both. The Great Resignation is real: Employees, contractors and consultants continue to quit their jobs and engagements for opportunities that pay more and have more flexible work options. Millions of light industrial jobs remain open in the U.S., with limited interest from job seekers. Severe labor shortages are expected well into 2022. Corporations need to increase wages and salaries to attract talent and get work done. Faster wage growth is expected to lead to increased inflation.” </t>
  </si>
  <si>
    <t xml:space="preserve">“Appear to be on the upswing from COVID-19 from an absenteeism standpoint. Still dealing with long lead times for wire, polyvinyl chloride (PVC), steel, transformers and meters. Winter weather has not had an impact on productivity levels.” </t>
  </si>
  <si>
    <t xml:space="preserve">“Supply constraints and outages persist. With mechanical component parts, the problems are severe. We are finding widespread depletion of field service part inventories to sustain factory production of new product orders. The inability to satisfy replacement part demand creates tremendous operational risk.” </t>
  </si>
  <si>
    <t xml:space="preserve">“Challenging operating conditions remain the same to start the new year. Our biggest service providers seem to be rebounding from labor shortages or are managing their way through them. We will be forced to upgrade some equipment that is less reliant on labor.” </t>
  </si>
  <si>
    <t xml:space="preserve">“Costs have escalated to what we believe are unsustainable levels. Available labor is nonexistent, so we have cut staffing and are taking on fewer projects temporarily in an attempt to reduce cost. Outsourcing where possible. We are not optimistic at this time.” </t>
  </si>
  <si>
    <t xml:space="preserve">“Business activity is increasing, but professional labor continues to be in short supply. Virtual work is preferred by clients.” </t>
  </si>
  <si>
    <t xml:space="preserve">“COVID-19 inpatient stays have surged in the past 30 days; however, this past week, the numbers have trended slightly down. Supply chain disruptions continue. Hiring of clinical and nonclinical staff continues to be very difficult due to high demand. Some staff are still working remotely." </t>
  </si>
  <si>
    <t xml:space="preserve">“January has been tough, as product quantities intended for holiday sales are just now coming in, inventories of seasonal products are (very) high and now dormant for nine months, cash flow is down, and new orders are delayed. Omicron is keeping between 20 and 25 percent of our workforce out daily. Inflation is a concern.” </t>
  </si>
  <si>
    <t xml:space="preserve">“Downturn in business in the last month due to outbreak in COVID-19 cases.” </t>
  </si>
  <si>
    <t xml:space="preserve">“Blood shortages are causing issues in the emergency rooms.” </t>
  </si>
  <si>
    <t xml:space="preserve">“Business outlook remains cautiously optimistic, although uncertainty remains concerning the impact of omicron, inflation and the lack of major improvements to supply chain issues.” </t>
  </si>
  <si>
    <t xml:space="preserve">“Business activity is very high, and we have maintained a consistent amount of back orders. Labor constraints are presenting problems throughout all areas of the business.” </t>
  </si>
  <si>
    <t xml:space="preserve">“Constrained supplies of many key product groups continue. Inflation worsening; however, sales and profitability continue to be strong.” </t>
  </si>
  <si>
    <t xml:space="preserve">Supply chain challenges to procure supplies for our restaurants remains our greatest obstacle at present, along with staffing needs. We are considering another price increase after just one in 2021, in August. </t>
  </si>
  <si>
    <t xml:space="preserve">Supply chain issues continue, but our business is adapting. </t>
  </si>
  <si>
    <t xml:space="preserve">The escalation in costs for materials, fuel, labor, lodging and the like continues to negatively impact margins in an unsustainable direction. </t>
  </si>
  <si>
    <t xml:space="preserve">Higher than normal employee attrition within our own company and at our suppliers, which is causing disruptions and delays. </t>
  </si>
  <si>
    <t xml:space="preserve">There is widespread fatigue across the organization as COVID-19 hospitalizations have plateaued, but in the face of yet another variant (omicron), the winter forecast is not positive. Although hospitalizations have eased, demand for services is up, as is acuity of patients. Due to mainly logistical concerns, the supply chain remains turbulent and some supply shortages, including of Vacutainers, are hindering operations. Our organization is cautiously optimistic going into flu season. </t>
  </si>
  <si>
    <t xml:space="preserve">Most upstream production materials are being pressured by constrained supply chains as well as domestic transportation challenges. Vendors are trying not to pass on expenses, but their margins are such that they will need to raise prices. While we have done a good job holding prices down, we will not be able to hold the vendors at bay. All (cost of goods) will be impacted. </t>
  </si>
  <si>
    <t xml:space="preserve">Activity continues to maintain a steady pace. Inventory levels and outages are persistent with our suppliers; however, starting to see some relief in the supply chain, but not below the critical point yet. Prices continue to be driven up, with shipping costs the largest driver due to inflated pressures on capacity and fuel costs. </t>
  </si>
  <si>
    <t xml:space="preserve">Electronic chip (shortage) is severely affecting deliveries from our supply base, thus impacting our ability to deliver to customers. </t>
  </si>
  <si>
    <t xml:space="preserve">Long lead times, transportation bottlenecks, delivery inconsistency and price increases continue to affect a range of products. </t>
  </si>
  <si>
    <t xml:space="preserve">We continue to experience supply chain disruptions across the nation and around the globe, resulting in raw material and subcomponent shortages, longer manufacturer lead times, transportation resource constraints, labor pool issues and significant price increases. Supply management continues to recommend pulling in demand, placing orders earlier than historical lead times for long lead-time materials, and qualifying secondary sources of supply (if applicable). </t>
  </si>
  <si>
    <t xml:space="preserve">Demand is good, but supply chain issues continue to get worse. Trucking availability is worsening. Labor shortages are causing issues. We could do much more business if we had more people and access to more products. </t>
  </si>
  <si>
    <t xml:space="preserve">Labor shortages, transportation delays and supply constraints/allocations. </t>
  </si>
  <si>
    <t xml:space="preserve">Business is greater than in the past. Supply chain issues persist, but we're evolving to overcome or manage them better than in the past. </t>
  </si>
  <si>
    <t xml:space="preserve">Some food products that we have contracts on have been unavailable. Substitutes are always higher in cost. </t>
  </si>
  <si>
    <t xml:space="preserve">Construction material shortages and longer lead times continue to hamper operations. Significant cost increases from labor and freight are forecast for the start of next year. </t>
  </si>
  <si>
    <t xml:space="preserve">As an institution of higher education, maintaining the safety, health and security of thousands of students, faculty and staff while allowing classes to continue in person and virtually has been a juggling act. We have been faced with multiple shortages on everything from personal protective equipment (PPE) to computers and peripherals, and vehicles. Shipments are taking longer and prices continue to climb, putting additional strain on (already) stressed budgets. </t>
  </si>
  <si>
    <t xml:space="preserve">Seeing inflationary forces in the marketplace, which is resulting in suppliers raising their prices moving into 2022. </t>
  </si>
  <si>
    <t xml:space="preserve">COVID-19 patients continue to impact census and procedures. Supplies continue to be difficult to obtain at times. </t>
  </si>
  <si>
    <t xml:space="preserve">Suppliers continue to report that labor shortages are leading to production issues and delays. In some areas, sufficient raw materials and capacity exist, but labor is the gating factor. Continued inflationary pressures driven by the cost of fuel, shipping capacity constraints, and imbalances in supply and demand are impacting a broad spectrum of products. </t>
  </si>
  <si>
    <t xml:space="preserve">Late deliveries and shortages continue. Disruptions seem to be declining somewhat, as suppliers and customers are finding innovative ways to keep supplies moving. </t>
  </si>
  <si>
    <t xml:space="preserve">Continuing struggle with transportation capacity. </t>
  </si>
  <si>
    <t xml:space="preserve">The COVID-19 surge, inventory shortages, driver and maintenance worker shortages, and long lead times for materials are straining our system. This limits our ability to keep vehicles on the road and necessary services running on schedule. </t>
  </si>
  <si>
    <t xml:space="preserve">Inflation and supply chain issues have caused cost increases and stockouts, but sales continue to be strong, with a positive outlook for the next quarter and beyond. </t>
  </si>
  <si>
    <t xml:space="preserve">Manufacturers are failing to keep up with orders, and backlogs continue to grow. We've seen proposed pricing increases of more than 20 percent in areas of equipment manufacturing. This is extremely concerning. </t>
  </si>
  <si>
    <t xml:space="preserve">Container delays are causing serious implications for our supply chain. </t>
  </si>
  <si>
    <t xml:space="preserve">Supply chain disruptions continue to roil new residential construction. Material and skilled labor shortages are lengthening cycle times and forcing substitutions. </t>
  </si>
  <si>
    <t xml:space="preserve">Supply chain backorders. We have to forecast six months out for basic supplies and one year for larger international equipment orders. Ivy [League] or elite higher education institutions will fare better than smaller schools, as applicants find alternative sources of education. </t>
  </si>
  <si>
    <t xml:space="preserve">Gross revenue continues to be strong due to high patient volume and inpatient census. At the same time, staffing continues to be a challenge and is driving significant cost overruns. To ensure we have adequate staff to care for increased patient demand, we are reliant on higher levels of temporary staff and incentivized staffing programs. </t>
  </si>
  <si>
    <t xml:space="preserve">Everything — from sales demand to orders to manufacturers, domestic and international — is ramping up. The international freight crisis is a critical problem, from capacity to transit times with port delays and costs now reaching three times pre-pandemic levels. Fourth-quarter holiday peak sales are at risk for delayed supply. Labor is still an issue, as it's hard to find and get people who want to work, especially in services, trucking and warehouse fulfillment. Profitability outlook is down, thanks to rising costs, lower sales and reduced on-time supply. </t>
  </si>
  <si>
    <t xml:space="preserve">While new opportunities continue to present themselves, we are turning work away due to delayed shipments from suppliers and the general lack of new workers. </t>
  </si>
  <si>
    <t xml:space="preserve">Positive indications that have been building in the last couple of months are continuing into the beginning of this quarter. </t>
  </si>
  <si>
    <t xml:space="preserve">Deliveries are significantly delayed. Metals continue to be volatile. </t>
  </si>
  <si>
    <t xml:space="preserve">Construction remains quite strong, although material supply issues persist. </t>
  </si>
  <si>
    <t xml:space="preserve">In general, we still have very strong business activity throughout our business channels. This is despite a very challenging business environment of increasing costs, a very difficult employee retention and hiring environment, and massive logistical backlogs. These issues have forced us to lower our top-line sales forecast slightly, due to a lack of supply and throughput challenges. Where possible, we are looking for substitute products to sell. We are still projecting to be well above last year for the month. </t>
  </si>
  <si>
    <t xml:space="preserve">Transportation bottlenecks are increasing, resulting in longer lead times and missed appointments. </t>
  </si>
  <si>
    <t xml:space="preserve">Constraints on logistics from a cost and availability standpoint continue to be an issue. </t>
  </si>
  <si>
    <t xml:space="preserve">Lead times on electronics and computer chips have greatly increased. Outlook for higher education remains flat for most colleges, not including elite and Ivy League institutions. </t>
  </si>
  <si>
    <t xml:space="preserve">International and domestic demand remains very strong. </t>
  </si>
  <si>
    <t xml:space="preserve">Retaining clinical and temporary staffing is critical at this time. With the Delta variant's spread, we continue to see increased (COVID-19) cases, but not as bad as January 2021. Vaccinations are clearly working. Most inpatient hospitalizations are of unvaccinated patients. The supply chain is still being impacted significantly by increased lead times for equipment and supplies. </t>
  </si>
  <si>
    <t xml:space="preserve">The semiconductor (shortage is) impacting server delivery. Alternate parts and engineering efforts are being used to create workaround solutions. </t>
  </si>
  <si>
    <t xml:space="preserve">Both domestic and international logistics are increasing lead times about six weeks for ocean freight and two weeks for domestic freight. </t>
  </si>
  <si>
    <t xml:space="preserve">Inventories shrinking due to global shipping logistics being a seller's/provider's market, with primary focus on yield versus market expansion. </t>
  </si>
  <si>
    <t xml:space="preserve">Lead times have improved slightly over the last period, but still remain lengthy relative to pre-pandemic levels. We continue to see rising costs for both supply and service inputs. The effects of these price increases have the potential to significantly impact our operations through the end of the year, especially if seasonal trends prove exceptionally strong. </t>
  </si>
  <si>
    <t xml:space="preserve">Business volumes remain remarkably high, although material shortages persist. </t>
  </si>
  <si>
    <t xml:space="preserve">Still experiencing very strong demand. Supply chain is still a challenge. </t>
  </si>
  <si>
    <t xml:space="preserve">Demand far outweighs supply for goods and services. </t>
  </si>
  <si>
    <t xml:space="preserve">We continue to deal with extended delivery lead times and high costs. Stress on the supply chain beginning to be reflected in the quality of products offered and delivered. Current buying strategy is to wait — except with equipment, as (price) increases are expected. </t>
  </si>
  <si>
    <t xml:space="preserve">Continued constrained supply of many key product groups. Also, inflationary pressures in most areas of the business keep driving costs higher. Inconsistent COVID-19 restrictions throughout the country are creating unstable business conditions that are concerning. However, business continues to be strong overall. </t>
  </si>
  <si>
    <t xml:space="preserve">Supply chain disruptions — including manufacturing-labor shortages, logistics delays and lack of material to make products — are significantly disrupting our business. </t>
  </si>
  <si>
    <t xml:space="preserve">There is a shortage of available workers which is challenging our business operations. </t>
  </si>
  <si>
    <t xml:space="preserve">Material and labor shortages continue to hinder productivity. Price increases are ever-present and repetitive. Large, multinational manufacturers have had multiple price increases in the last three months. </t>
  </si>
  <si>
    <t xml:space="preserve">Budget constraints due to student enrollment (impacted by) COVID-19 restrictions. Outlook to remain flat or little increase. Supply chain constraints with regard to limited supply of computer hardware to fulfill orders. </t>
  </si>
  <si>
    <t xml:space="preserve">Inpatient- and outpatient-services and ancillary-services volumes continue to be very high. Driven by increased admissions and increased lengths of stay. Pharmaceutical volume is high as well, which relates to patient volume in our cancer center. Surgical-case volumes remain strong, as do associated physician services. Emergency room visits exceeded budgeted levels by 14.2 percent. This volume resulted in an increase in diagnostic services, specifically CT scans. In addition, we are seeing an increase in COVID-19 patients again. </t>
  </si>
  <si>
    <t xml:space="preserve">Supplies are tight in technology hardware. </t>
  </si>
  <si>
    <t xml:space="preserve">Temporary labor continues to be in short supply. Transportation costs are inflating prices on all products. </t>
  </si>
  <si>
    <t xml:space="preserve">Activity level continues to increase. </t>
  </si>
  <si>
    <t xml:space="preserve">Continuing supply chain disruptions and supply cost increases. </t>
  </si>
  <si>
    <t xml:space="preserve">Chemicals and transportation services are in short supply. Also, chip shortages are affecting several large-project time lines. </t>
  </si>
  <si>
    <t xml:space="preserve">Business in all segments continues to gain, both month over month and year-to-date versus 2020. Projections and forecasts remain quite robust. </t>
  </si>
  <si>
    <t xml:space="preserve">A limited supply of critical items has caused us to expand our line of products and our supplier base. Services like ash cleaning, trash removal, internet installations and the like are experiencing staffing shortages, causing us to find alternative sources or adjust schedules. Travel has increased 60 percent since February for internal employees. </t>
  </si>
  <si>
    <t xml:space="preserve">Steel shortages continue. Labor constraints at suppliers continue to push delivery dates out. Logistics issues (are also ongoing), as container space, truck drivers and the like remain difficult to obtain. </t>
  </si>
  <si>
    <t xml:space="preserve">Peak demand while still facing challenges filling open positions. </t>
  </si>
  <si>
    <t xml:space="preserve">The slow movement of container traffic has definitely impacted our business in the first half of the year. We expect the situation will take another year to correct itself. </t>
  </si>
  <si>
    <t xml:space="preserve">Costs have risen dramatically in the last 45 days. Lodging, fuel, travel and supplies are all rising sharply. Costs for available labor are also rising, as demand increases in a diminished labor pool. </t>
  </si>
  <si>
    <t xml:space="preserve">Surgical volumes continue to increase, reflecting pent-up demand for services. However, the COVID-19 delta variant is impeding our ability to manage increased surgical volumes due to increased COVID-19 case admissions. Consistency of supply in a couple of categories (coagulation tubes and nitrile gloves) remains challenging, though moderately manageable. </t>
  </si>
  <si>
    <t xml:space="preserve">Fuel prices are coming back down a bit. Labor shortage continues for drivers and general labor work. We have increased pay for many positions, but the shortage continues. </t>
  </si>
  <si>
    <t xml:space="preserve">Supply chain disruptions continue to impact sales. </t>
  </si>
  <si>
    <t xml:space="preserve">Appliances, laptops and certain chemicals are still in short supply. </t>
  </si>
  <si>
    <t xml:space="preserve">Business continues to gain speed as the economy recovers and assuming there won't be additional government-mandated lockdowns. </t>
  </si>
  <si>
    <t xml:space="preserve">Continued shortages in computer equipment (laptops and PCs) are challenging for fulfillment needs. Corporate travel has resumed, but we're seeing many flight cancellations and car-rental shortages. Heating, ventilation and air conditioning (HVAC) repairs also impacted by longer than normal lead times for replacement units. </t>
  </si>
  <si>
    <t xml:space="preserve">Ocean freight costs have created a negative impact to our business. The congestions at (the ports of) Long Beach/Los Angeles and Seattle have increased lead time by 15 days. Additional delays are occurring at the Chicago rail yard, (causing) two to three weeks of additional lead time. </t>
  </si>
  <si>
    <t xml:space="preserve">Our restaurants are quickly — maybe too quickly — returning to 2019 sales levels. Strong consumer demand for dining out is clearly evident as COVID-19 restrictions ease, but the challenges are supply chain outages, logistics delays and employee- and management-staffing constraints. Some locations cannot open for business or (have) limited hours, as we cannot staff the restaurant to meet consumer demand. </t>
  </si>
  <si>
    <t xml:space="preserve">Severe supply chain disruptions and inflation are continuing in the marketplace, in all sectors. </t>
  </si>
  <si>
    <t xml:space="preserve">COVID-19 continues to cause troubles for all of our deliveries, as well as short supply a lot of materials. (Shortages of) lumber, copper, and steel continue, which is driving up pricing and lead times. </t>
  </si>
  <si>
    <t xml:space="preserve">The declining positive test rates for COVID-19 is already having a significant impact, as virtually all aspects of our operations are picking up rapidly. The summer is normally the slow period, as limited teaching is taking place, but this year, preparations for the fall semester are already underway. </t>
  </si>
  <si>
    <t xml:space="preserve">New business is actively trending up locally, nationally and internationally. </t>
  </si>
  <si>
    <t xml:space="preserve">We continue to see a high (patient) census as COVID-19 restrictions are eased, but the volumes are not pandemic related. There are more patients now because they wouldn't or couldn't get treatment because of restrictions on (non-COVID-19) care or personal cautiousness. </t>
  </si>
  <si>
    <t xml:space="preserve">Employees globally are returning to the office where possible. We expect to have most employees in the office starting in September. </t>
  </si>
  <si>
    <t xml:space="preserve">Business conditions continue to rebound; however, like everywhere, the challenges in the supply chain are numerous. We continue to see cost increases, delayed shipments, pushed-out lead times, and no clarity as to when predictive balance returns to this market. </t>
  </si>
  <si>
    <t xml:space="preserve">Labor market remains tight, and wages have risen at an unprecedented rate. We are expecting a long-term effect on pricing of services. </t>
  </si>
  <si>
    <t xml:space="preserve">Overall business activity in the month has been strong. We are seeing increased orders and slight improvements in backlogs. The primary headwinds this month continue to be very expensive ocean freight rates, increasing business costs and increasing raw-materials costs. The top line is not outrunning expenses. </t>
  </si>
  <si>
    <t xml:space="preserve">Starting to see a lot of commodity-price increases for chemicals, acidizing and cementing. This is driven by product cost increases stemming from low production from plants. </t>
  </si>
  <si>
    <t xml:space="preserve">Stimulus money, increased vaccinations, increased dining capacity and pent-up demand are driving a fast recovery for dine-in restaurants — and all consumer segments, it seems — resulting in labor shortages and supply chain gaps. </t>
  </si>
  <si>
    <t xml:space="preserve">Container delays are impacting our supply chain in a significant way. Delays as the Port of Montreal and West Coast ports have impacted our ability to provide products in growing season. Truck availability has generally been tighter than normal. We've seen a real impact in the southeastern market. </t>
  </si>
  <si>
    <t xml:space="preserve">Business continues to improve, and we have worked through many of the supply chain disruptions at this time. We have begun to return to work at our corporate office on a limited basis. </t>
  </si>
  <si>
    <t xml:space="preserve">We are still busy and adding employees. One of the biggest concerns now is shortages of crucial material and equipment. Metal coils for production are especially scarce. Equipment and material suppliers have been raising prices since the first of the year. We hear of a new increase almost daily. </t>
  </si>
  <si>
    <t xml:space="preserve">We anticipated the reopening reasonably well but were caught off guard with respect to some materials. Steel and copper went higher than anticipated, and shortages are having an impact. </t>
  </si>
  <si>
    <t xml:space="preserve">As the vaccination rate continues to climb and the coronavirus (COVID-19) infection rate continues to plummet, business conditions are steadily improving: Strong revenue performance is returning, and outlooks are improving. Some supply categories remain constrained (nitrile gloves, sterile wrap and the like), remain constrained yet are somewhat manageable, limiting the impact to daily operations. </t>
  </si>
  <si>
    <t xml:space="preserve">(We are) seeing cost increases and long lead times with steel and steel containers. Worker shortages, temp labor and the like. </t>
  </si>
  <si>
    <t xml:space="preserve">Transportation, labor, steel and general commodities are all increasing (in price) based upon general inflation and the rising price of oil. </t>
  </si>
  <si>
    <t xml:space="preserve">Small businesses in the area are reporting stimulus checks and extension of unemployment are hampering their ability to hire workers. Seasonal labor and H-2B (visa) workers are in very short supply, causing an uptick in cost per hour. Some employers are reporting they are offering cash incentives of (US)$50 if you show up for an interview. </t>
  </si>
  <si>
    <t xml:space="preserve">Business is very strong, and customer orders continue to increase at a rapid pace. Material shortages, increased prices and qualified personnel shortages are becoming a much larger concern. </t>
  </si>
  <si>
    <t xml:space="preserve">Very concerned about the rapid and continuing price escalations for any products with copper, steel, and polyvinyl chloride (PVC). Production issues and lead-time extensions are not improving. </t>
  </si>
  <si>
    <t xml:space="preserve">Business is doing good, exceeding sales target, but we have challenging issues with (1) increases in raw-materials costs and freight rates, (2) huge freight delays from overseas and (3) continued U.S. port delays. The (COVID-19 surges) in India and Taiwan are also causing delays on product availability/shipments. </t>
  </si>
  <si>
    <t xml:space="preserve">Restaurant capacity is increasing quickly as restrictions are removed. Consumers have pent-up demand; sales are increasing, and the labor pool is tight. Supply chain is challenged at every level as businesses across the U.S. ramp up. </t>
  </si>
  <si>
    <t xml:space="preserve">Delays in container deliveries are now impacting our business. </t>
  </si>
  <si>
    <t xml:space="preserve">Consistent with the past year, labor continues to be the biggest issue we are facing. Finding and retaining labor — skilled and unskilled — is highly challenging and frustrating. As the challenges continue, we are not accepting all the work that we could if we had the labor. </t>
  </si>
  <si>
    <t xml:space="preserve">Higher volume of activity in anticipation of a reopening of the campus in the fall of 2021. </t>
  </si>
  <si>
    <t xml:space="preserve">Conditions are good for the market/industry. Continuing to trend under budget for operating expenses. Outlook is positive for the second quarter of 2021. </t>
  </si>
  <si>
    <t xml:space="preserve">Elective surgeries coming back to pre-COVID-19 rates. Patient census continues to drop, as it does this time of year. </t>
  </si>
  <si>
    <t xml:space="preserve">Overall, there is pricing pressure for goods and services in the market. </t>
  </si>
  <si>
    <t xml:space="preserve">Supply has been dwarfed by demand [and] ocean-transport logistics imbalances with ships and containers. North America parcel carriers swamped with volume-processing constraints, and highway carriers can't supply drivers, regardless of choked original equipment manufacturer [OEM] truck orders. Rail intermodal is only competitive among two dozen or so origins, to about as many destinations. </t>
  </si>
  <si>
    <t xml:space="preserve">Business is generally upbeat. There is pent-up demand and resources, especially people. The pandemic, while not over, is subsiding in most places with the vaccines. Many people who were previously unable to think about relocating for jobs are now doing so. Other areas of the economy are opening up. Many medical treatments that were not critical and were put off are now being administered. </t>
  </si>
  <si>
    <t xml:space="preserve">Business levels are quite strong as we head into the spring construction season. </t>
  </si>
  <si>
    <t xml:space="preserve">Business optimism is high. Orders are picking up, and there is a strong demand for capital investments. </t>
  </si>
  <si>
    <t xml:space="preserve">Business is very robust, but logistics and supply cannot keep up. </t>
  </si>
  <si>
    <t>Kurew</t>
  </si>
  <si>
    <t xml:space="preserve">“Logistics delays and uncertainty are creating significant problems with suppliers and inventories. Also, [there are] cost concerns regarding inflated pricing due to logistics and shortages.” </t>
  </si>
  <si>
    <t xml:space="preserve">“Our four Southern California locations are finally open after being closed for 12 months. We are currently experiencing severe supply chain and distribution disruptions related to multiple factors. Reopening of the California and New York movie theater markets [is] creating a surge in demand; also, manufacturers and a distributor partner are dealing with labor shortages.” </t>
  </si>
  <si>
    <t xml:space="preserve">“Residential new home construction demand continues to outpace supply. Building material delays, discontinuations and shortages are beginning to develop. Shipping delays at the L.A. and Long Beach ports have contributed to longer lead times. Cold weather in Texas has hurt several component manufacturers for building materials. We have encountered the ‘perfect storm’ for building material shortages and price increases.” </t>
  </si>
  <si>
    <t xml:space="preserve">“There is optimism in higher education that Fall 2021 will be near normal with vaccinated students, employees and staff returning to their roles on campus.” </t>
  </si>
  <si>
    <t xml:space="preserve">“Local and national outlook remains positive, despite return-to-work concerns [and] work-from-home-related issues/purchases.” </t>
  </si>
  <si>
    <t xml:space="preserve">“Vaccination rates are rising, and coronavirus [COVID-19] infections are falling in the region, leading to optimistic outlooks and forecasts for increased business activity. Patient census numbers are trending upward, mainly due to a better ratio of patients seeking elective procedures versus COVID-19 hospitalizations. However, revenues are still soft, indicating that a full rebound in business activity has not yet been realized.” </t>
  </si>
  <si>
    <t xml:space="preserve">“Resin/oil price increases are beginning to filter down to products that we procure. In addition to price increases, we are also seeing longer lead times as supply chains pivot to find cheaper supply options.” </t>
  </si>
  <si>
    <t xml:space="preserve">“Lack of chemicals and the recent freeze in Texas has delayed some orders and is creating a micro [price] increases for certain products. Suppliers are using the short-term shortage to their advantage to raise rates.” </t>
  </si>
  <si>
    <t xml:space="preserve">“Higher levels of demand related to additional business reopening, and increased activity related to vaccination distribution.” </t>
  </si>
  <si>
    <t xml:space="preserve">“Business is picking up as mandated restrictions seem to be easing and spring is right around the corner.” </t>
  </si>
  <si>
    <t xml:space="preserve">“Outlook remains cautiously optimistic for the second half of the year as businesses continue to open up and projects come online.” </t>
  </si>
  <si>
    <t xml:space="preserve">“Overall, there are still delays in import shipments of goods, though [the situation has] slightly improved. The market forecast on ocean shipments and logistics is still the same for next quarter; improvements might be seen in Q3. COVID-19 issues continue to impact demand and supply across the globe, and the new stimulus aid is expected to help the economy and lead to an increase in retail spending over the next few months.” </t>
  </si>
  <si>
    <t xml:space="preserve">Suppliers are taking the opportunity with the commodity-price increases in the last few months to propose price increases that are above and beyond normal expectations, causing significant concern. Business growth remains optimistic on the emergence of a post-coronavirus [COVID-19] era in [the] second half of 2021. U.S. port delays are problematic. </t>
  </si>
  <si>
    <t xml:space="preserve">The declining COVID-19 cases in the four states we operate in, combined with the increased vaccination rates, should bode well for our increased business activity moving into the second quarter of 2021. </t>
  </si>
  <si>
    <t xml:space="preserve">Sales of residential real estate continue to be strong, even outstripping supply. Cost inflation in building materials seen as shortages develop from sporadic COVID-19 closures at manufacturing facilities. Port congestion on the West Coast [and] winter weather in Canada closing mills and restricting truck shipping are contributing to product shortages nationwide. </t>
  </si>
  <si>
    <t xml:space="preserve">COVID-19 restrictions continue to affect the number of students either applying to college, living on campus or finding alternative means of a valuable education. As such, revenues have decreased while expenses increased. </t>
  </si>
  <si>
    <t xml:space="preserve">Business is steady during Q1 2021. </t>
  </si>
  <si>
    <t xml:space="preserve">Exponential demand for critical supplies due to [the] pandemic is driving distributer allocations and forcing alternative sourcing. </t>
  </si>
  <si>
    <t xml:space="preserve">Our company has an overall positive outlook, with new COVID-19 cases trending down nationally and vaccine distribution coming online. However, possible changes to the regulatory environment for oil and gas is a looming negative influence. </t>
  </si>
  <si>
    <t xml:space="preserve">The business continues to reduce real-estate/brick-and-mortar [operations] and transition to a work-from-home model. Innovation is the watchword in all things; as such, the need to right-size all consumption as patterns have changed. </t>
  </si>
  <si>
    <t xml:space="preserve">Supplier deliveries continue to be an issue as well as lead-times. Additionally, price increases are occurring with more frequency for products containing raw materials such as copper and steel. </t>
  </si>
  <si>
    <t xml:space="preserve">Construction and customer activity remains robust. Many materials have inconsistent lead times or are facing delivery delays. </t>
  </si>
  <si>
    <t xml:space="preserve">We are seeing an ongoing influx of price increases due to raw-material shortages, labor shortages, and transportation delays. </t>
  </si>
  <si>
    <t xml:space="preserve">We were excited [in January], when orders and activity were increasing. Now, they are not receding, but they're flat month over month. That's not the rebound we were hoping for. </t>
  </si>
  <si>
    <t>Professional, Scientific &amp; Technical Services </t>
  </si>
  <si>
    <t xml:space="preserve">Many of our restaurant locations remain completely shut down to on-site dining. We remain optimistic about business trends beyond April/May 2021. [We] have a very challenging few months to go. </t>
  </si>
  <si>
    <t xml:space="preserve">Orders for new business have picked up. Labor is still the major impediment to the business. </t>
  </si>
  <si>
    <t xml:space="preserve">Seasonal reduction of activity due to winter break from campus activity. </t>
  </si>
  <si>
    <t xml:space="preserve">Start of 2021 on track with a positive outlook. </t>
  </si>
  <si>
    <t xml:space="preserve">Increased number of COVID-19 patients has forced the cancellation of elective surgeries. Bed capacity limited. </t>
  </si>
  <si>
    <t xml:space="preserve">The copper shortage is slowing deliveries of key network equipment. </t>
  </si>
  <si>
    <t xml:space="preserve">Still working under COVID-19 restrictions and uncertain political climate. </t>
  </si>
  <si>
    <t xml:space="preserve">Overall, everything continues to be more optimistic; however, we are still seeing impacts from suppliers that are being affected by limiting staff due to COVID-19 restrictions. </t>
  </si>
  <si>
    <t xml:space="preserve">Post-holidays spending is up. Many capital projects and expenditures are coming to fruition. </t>
  </si>
  <si>
    <t xml:space="preserve">Business outlook for 2021 looks better. Companies are optimistic that conditions will start improving by the end of the second quarter. </t>
  </si>
  <si>
    <t xml:space="preserve">Business outlook for 2021 is positive with projects and capital investments moving forward. Target financial objectives have been obtained. </t>
  </si>
  <si>
    <t xml:space="preserve">Good start to the year; business has promising growth. Market conditions are still affected by logistics issues, both domestic and international. Also, prices for raw material prices and freight are increasing up, by 4 percent to 13 percent. </t>
  </si>
  <si>
    <t xml:space="preserve">Starting to see demand weakening as states go back to shut down. Will look to see business resume in late first quarter, as vaccine distribution takes place. </t>
  </si>
  <si>
    <t xml:space="preserve">Lack of labor continues to be a significant drag on the business. We have plenty of work but are now considering rejecting some orders due to shrinking capacity. </t>
  </si>
  <si>
    <t xml:space="preserve">Continued local and state shutdowns negatively impacting a variety of operations. Notably, shipping delays are beginning to affect operations as [parcel companies] all struggle under the strain of holiday-shipping demand. Construction and services continue to also be challenged, as COVID-19 infections become more pervasive with workers calling out to quarantine, etc. </t>
  </si>
  <si>
    <t xml:space="preserve">COVID-19 continues to be an impediment to normalized business operations, and the pandemic is not abating — only worsening as [we] get into the winter months. Stocks of personal protective equipment [PPE] are adequate but not sufficient for most categories, with the exception of nitrile exam gloves, which are in extremely short supply internationally. Our hospital system achieved 94- percent capacity in our intensive care units and continued to hover around that number with new admissions, fatalities and discharges on a daily basis. This situation continues to impede normal revenue-generating surgical volumes. </t>
  </si>
  <si>
    <t xml:space="preserve">Deliveries as a whole, are slowing down considerably. Between COVID-19, the holidays, and inclement weather of late, the remainder of [2020] stands to be very challenging regarding maintaining adequate materials for operations. </t>
  </si>
  <si>
    <t xml:space="preserve">Business quite good, all things considered, although below the original 2020 planned forecast. </t>
  </si>
  <si>
    <t xml:space="preserve">Business conditions are improving with increased volume, but [growth has] slowed slightly due to COVID-19 shutdowns in some states. </t>
  </si>
  <si>
    <t xml:space="preserve">The general business conditions are steady/stable. Expecting a very slight slowdown to end the year, with a rebound in mid-January. </t>
  </si>
  <si>
    <t xml:space="preserve">We have seen a growing number of product shortages and increased lead times during the last quarter. </t>
  </si>
  <si>
    <t xml:space="preserve">Conflicting national, regional, and local guidelines/requirements for COVID-19 issues are becoming increasingly difficult to navigate, leading to a lot of just in time (JIT)-type purchases. </t>
  </si>
  <si>
    <t xml:space="preserve">Business is pushing to complete projects due to seasonality in most of our markets. Volume is strong at this point but will gradually slow as temperatures drop in most of the country. </t>
  </si>
  <si>
    <t xml:space="preserve">Recent spike in the infection rates of COVID-19 have caused us to pause plans to further reopen our campus. Sourcing for the resumption and expanded use of onsite testing of students and staff along with concerns over possible personal protective equipment [PPE] shortages occupy most staff meetings. </t>
  </si>
  <si>
    <t xml:space="preserve">Uncertainty related to the U.S. election is resulting in additional cybersecurity needs. </t>
  </si>
  <si>
    <t xml:space="preserve">Continue to experience difficulty in procuring PPE due to rising COVID-19 numbers. </t>
  </si>
  <si>
    <t xml:space="preserve">Tough economic conditions. Lost revenues from the COVID-19 crisis are coming back, but not completely. </t>
  </si>
  <si>
    <t xml:space="preserve">Business activity is inconsistent. Businesses that reopened are closing for a second time, leading to interruptions in the supply chain. </t>
  </si>
  <si>
    <t xml:space="preserve">COVID-19 has brought some changes to operations, but for the most part, things are progressing as usual. </t>
  </si>
  <si>
    <t xml:space="preserve">Availability on PPE and other supplies is getting worse again; [the situation] is especially dire with nitrile gloves. </t>
  </si>
  <si>
    <t xml:space="preserve">Remote working has continued to impact our ability to obtain standard equipment such as iPads, printers and PCs for our stores and employees, who require these items to operate our approximately 800 retail locations. Most items are on a 30 to 60 day back order from our suppliers. </t>
  </si>
  <si>
    <t xml:space="preserve">Business has improved, but greatly reliant on COVID-19-related restrictions. Supplier's inventories and lead times are longer and spotty with outages due to keeping lead times lean as a cash flow measure, but putting consistent supply at risk. </t>
  </si>
  <si>
    <t xml:space="preserve">Interesting business cycle: Labor is still in short supply, and work orders are picking up. </t>
  </si>
  <si>
    <t xml:space="preserve">Challenges to maintain safety and prevent the spread of COVID-19 has meant changes in the way activities are carried out. Purchases of personal protective equipment [PPE] and facilities equipment along with modifications to buildings and walkways has led to higher spending in some areas. </t>
  </si>
  <si>
    <t xml:space="preserve">Given COVID-19, the adjustments we have made across the company has allowed us to reach previous employment levels, and those furloughed are back to work. Everyone is careful to wear the required PPE and keep distancing. We have added additional cleaning staff between shifts to upgrade sanitation. </t>
  </si>
  <si>
    <t xml:space="preserve">The new normal COVID-19 environment is causing uncertainty, but we've seen an increase in business that is close to pre-COVID-19 volumes for procedures. </t>
  </si>
  <si>
    <t xml:space="preserve">While the economy is getting better, there is still very much uncertainty about the future. We are putting capital expenditures on hold until we gain additional confidence and certainty. </t>
  </si>
  <si>
    <t xml:space="preserve">We are remaining cautiously positive and resuming normal business operations. </t>
  </si>
  <si>
    <t xml:space="preserve">Encouraging signs continue for an improved fourth quarter. </t>
  </si>
  <si>
    <t xml:space="preserve">We continue to be cautiously optimistic that the rebound in business that began in July continues to sustain. </t>
  </si>
  <si>
    <t xml:space="preserve">Business continues to gain as people are travelling and businesses are opening up to consumers. </t>
  </si>
  <si>
    <t xml:space="preserve">Our business activity is now thriving again, after modifications to our operations. While supply disruptions remain common, very critical items are more stable than in previous months. Tariff threats have caused more concern than in previous months due to actions in aluminum, and the rapid rise in lumber costs for construction expansions. </t>
  </si>
  <si>
    <t xml:space="preserve">Overall, we are seeing improvement in the level of activity in the short term. Backlog of orders is inconsistent. </t>
  </si>
  <si>
    <t xml:space="preserve">Continuing pandemic uncertainties are challenging abilities to prepare for fall semester activities, resumption of in-person instruction and the research enterprise. Recent decision to provide all undergraduate instruction online has shifted priorities significantly, including reduced need for testing and increased need for remote teaching infrastructure. </t>
  </si>
  <si>
    <t xml:space="preserve">Revenue challenges for our customers still remain a primary challenge. </t>
  </si>
  <si>
    <t xml:space="preserve">Continuing to build our ancillary clinic volume as well as elective surgical cases since ceasing these services from mid-March through May 1. </t>
  </si>
  <si>
    <t xml:space="preserve">Clear signs of gearing up manufacturing and distribution for an extraordinary e-commerce Christmas. Brick-and-mortar likely closed to crowds. Also, hearing the other shoe is about to drop, probably in first quarter of 2021, on U.S.-China trade. Get out of China now" is resonating." </t>
  </si>
  <si>
    <t xml:space="preserve">We are significantly down from the pre-COVID-19 level. While month-over-month business activity is picking up, the pace is very slow and very slight. </t>
  </si>
  <si>
    <t xml:space="preserve">Increase in service- and work-order requests are signs of economic improvement as companies reopen and begin to ramp up employment activity. </t>
  </si>
  <si>
    <t xml:space="preserve">The coronavirus continues to be a challenge for the business as we pivot and adapt to these new conditions. Sales have been affected in the retail space with less foot traffic in our brick-and-mortar stores, while e-commerce sales have increased significantly. We are starting to see sales level out in this new environment from the pandemic. </t>
  </si>
  <si>
    <t xml:space="preserve">Business recovery continues as the country reopens.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</si>
</sst>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02]mmm/yy"/>
    <numFmt numFmtId="165" formatCode="[$-402]dd/mmm"/>
    <numFmt numFmtId="166" formatCode="[$-402]dd/m/yyyy"/>
    <numFmt numFmtId="172" formatCode="mmmm\ yyyy\ &quot;г.&quot;;@"/>
  </numFmts>
  <fonts count="15" x14ac:knownFonts="1">
    <font>
      <sz val="11"/>
      <color rgb="FF000000"/>
      <name val="Calibri"/>
      <family val="2"/>
      <charset val="1"/>
    </font>
    <font>
      <sz val="10"/>
      <name val="Arial"/>
      <family val="2"/>
      <charset val="204"/>
    </font>
    <font>
      <b/>
      <sz val="11"/>
      <color rgb="FFFFFFFF"/>
      <name val="Calibri"/>
      <family val="2"/>
      <charset val="204"/>
    </font>
    <font>
      <sz val="10"/>
      <color rgb="FF373737"/>
      <name val="Arial"/>
      <family val="2"/>
      <charset val="204"/>
    </font>
    <font>
      <sz val="12"/>
      <color rgb="FF373737"/>
      <name val="Arial"/>
      <family val="2"/>
      <charset val="1"/>
    </font>
    <font>
      <sz val="11"/>
      <color rgb="FF000000"/>
      <name val="Calibri"/>
      <family val="2"/>
      <charset val="204"/>
    </font>
    <font>
      <sz val="14"/>
      <color rgb="FF000000"/>
      <name val="Calibri"/>
      <family val="2"/>
      <charset val="204"/>
    </font>
    <font>
      <sz val="14"/>
      <color rgb="FF000000"/>
      <name val="Calibri"/>
      <family val="2"/>
      <charset val="1"/>
    </font>
    <font>
      <b/>
      <i/>
      <sz val="14"/>
      <color rgb="FF000000"/>
      <name val="Calibri"/>
      <family val="2"/>
      <charset val="204"/>
    </font>
    <font>
      <b/>
      <i/>
      <sz val="14"/>
      <color rgb="FFFFFFFF"/>
      <name val="Calibri"/>
      <family val="2"/>
      <charset val="1"/>
    </font>
    <font>
      <b/>
      <sz val="11"/>
      <color rgb="FF000000"/>
      <name val="Calibri"/>
      <family val="2"/>
      <charset val="204"/>
    </font>
    <font>
      <b/>
      <i/>
      <sz val="14"/>
      <color rgb="FFFFFFFF"/>
      <name val="Calibri"/>
      <family val="2"/>
      <charset val="204"/>
    </font>
    <font>
      <b/>
      <sz val="14"/>
      <color rgb="FF000000"/>
      <name val="Calibri"/>
      <family val="2"/>
      <charset val="204"/>
    </font>
    <font>
      <sz val="8"/>
      <name val="Calibri"/>
      <family val="2"/>
      <charset val="1"/>
    </font>
    <font>
      <b/>
      <i/>
      <sz val="15"/>
      <color theme="0"/>
      <name val="Calibri"/>
      <family val="2"/>
      <charset val="204"/>
    </font>
  </fonts>
  <fills count="16">
    <fill>
      <patternFill patternType="none"/>
    </fill>
    <fill>
      <patternFill patternType="gray125"/>
    </fill>
    <fill>
      <patternFill patternType="solid">
        <fgColor rgb="FFC00000"/>
        <bgColor rgb="FF800000"/>
      </patternFill>
    </fill>
    <fill>
      <patternFill patternType="solid">
        <fgColor rgb="FFF2F2F2"/>
        <bgColor rgb="FFE7E6E6"/>
      </patternFill>
    </fill>
    <fill>
      <patternFill patternType="solid">
        <fgColor rgb="FF92D050"/>
        <bgColor rgb="FF81D41A"/>
      </patternFill>
    </fill>
    <fill>
      <patternFill patternType="solid">
        <fgColor rgb="FF5B9BD5"/>
        <bgColor rgb="FF549ADA"/>
      </patternFill>
    </fill>
    <fill>
      <patternFill patternType="solid">
        <fgColor rgb="FFFFC000"/>
        <bgColor rgb="FFFF9900"/>
      </patternFill>
    </fill>
    <fill>
      <patternFill patternType="solid">
        <fgColor rgb="FF548235"/>
        <bgColor rgb="FF595959"/>
      </patternFill>
    </fill>
    <fill>
      <patternFill patternType="solid">
        <fgColor rgb="FF00B050"/>
        <bgColor rgb="FF008080"/>
      </patternFill>
    </fill>
    <fill>
      <patternFill patternType="solid">
        <fgColor rgb="FFFFFF00"/>
        <bgColor rgb="FFFFFF00"/>
      </patternFill>
    </fill>
    <fill>
      <patternFill patternType="solid">
        <fgColor rgb="FFE7E6E6"/>
        <bgColor rgb="FFF2F2F2"/>
      </patternFill>
    </fill>
    <fill>
      <patternFill patternType="solid">
        <fgColor rgb="FF00B0F0"/>
        <bgColor rgb="FF549ADA"/>
      </patternFill>
    </fill>
    <fill>
      <patternFill patternType="solid">
        <fgColor rgb="FF92D050"/>
        <bgColor indexed="64"/>
      </patternFill>
    </fill>
    <fill>
      <patternFill patternType="solid">
        <fgColor theme="9" tint="-0.499984740745262"/>
        <bgColor indexed="64"/>
      </patternFill>
    </fill>
    <fill>
      <patternFill patternType="solid">
        <fgColor theme="9" tint="0.79998168889431442"/>
        <bgColor indexed="64"/>
      </patternFill>
    </fill>
    <fill>
      <patternFill patternType="solid">
        <fgColor theme="8" tint="0.79998168889431442"/>
        <bgColor indexed="64"/>
      </patternFill>
    </fill>
  </fills>
  <borders count="9">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bottom/>
      <diagonal/>
    </border>
    <border>
      <left/>
      <right/>
      <top style="thin">
        <color auto="1"/>
      </top>
      <bottom/>
      <diagonal/>
    </border>
    <border>
      <left style="thin">
        <color auto="1"/>
      </left>
      <right style="thin">
        <color auto="1"/>
      </right>
      <top style="thin">
        <color auto="1"/>
      </top>
      <bottom/>
      <diagonal/>
    </border>
    <border>
      <left/>
      <right style="thin">
        <color auto="1"/>
      </right>
      <top style="thin">
        <color auto="1"/>
      </top>
      <bottom/>
      <diagonal/>
    </border>
  </borders>
  <cellStyleXfs count="2">
    <xf numFmtId="0" fontId="0" fillId="0" borderId="0"/>
    <xf numFmtId="0" fontId="1" fillId="0" borderId="0"/>
  </cellStyleXfs>
  <cellXfs count="61">
    <xf numFmtId="0" fontId="0" fillId="0" borderId="0" xfId="0"/>
    <xf numFmtId="0" fontId="0" fillId="0" borderId="1" xfId="0" applyFont="1" applyBorder="1"/>
    <xf numFmtId="0" fontId="0" fillId="0" borderId="1" xfId="0" applyBorder="1"/>
    <xf numFmtId="0" fontId="0" fillId="0" borderId="0" xfId="0" applyBorder="1"/>
    <xf numFmtId="0" fontId="0" fillId="0" borderId="0" xfId="0" applyBorder="1"/>
    <xf numFmtId="0" fontId="0" fillId="0" borderId="2" xfId="0" applyBorder="1"/>
    <xf numFmtId="0" fontId="3" fillId="0" borderId="1" xfId="0" applyFont="1" applyBorder="1"/>
    <xf numFmtId="0" fontId="4" fillId="0" borderId="1" xfId="0" applyFont="1" applyBorder="1"/>
    <xf numFmtId="0" fontId="6" fillId="3" borderId="1" xfId="1" applyFont="1" applyFill="1" applyBorder="1" applyAlignment="1"/>
    <xf numFmtId="0" fontId="0" fillId="4" borderId="1" xfId="0" applyFont="1" applyFill="1" applyBorder="1"/>
    <xf numFmtId="164" fontId="0" fillId="4" borderId="1" xfId="0" applyNumberFormat="1" applyFill="1" applyBorder="1"/>
    <xf numFmtId="165" fontId="0" fillId="4" borderId="1" xfId="0" applyNumberFormat="1" applyFill="1" applyBorder="1"/>
    <xf numFmtId="0" fontId="0" fillId="5" borderId="1" xfId="0" applyFont="1" applyFill="1" applyBorder="1"/>
    <xf numFmtId="0" fontId="7" fillId="0" borderId="1" xfId="0" applyFont="1" applyBorder="1"/>
    <xf numFmtId="166" fontId="0" fillId="0" borderId="1" xfId="0" applyNumberFormat="1" applyBorder="1"/>
    <xf numFmtId="0" fontId="0" fillId="6" borderId="1" xfId="0" applyFont="1" applyFill="1" applyBorder="1" applyAlignment="1">
      <alignment horizontal="center" vertical="center"/>
    </xf>
    <xf numFmtId="0" fontId="9" fillId="7" borderId="1" xfId="0" applyFont="1" applyFill="1" applyBorder="1" applyAlignment="1">
      <alignment horizontal="center" vertical="center"/>
    </xf>
    <xf numFmtId="0" fontId="9" fillId="2" borderId="1" xfId="0" applyFont="1" applyFill="1" applyBorder="1" applyAlignment="1">
      <alignment horizontal="center" vertical="center"/>
    </xf>
    <xf numFmtId="166" fontId="0" fillId="0" borderId="1" xfId="0" applyNumberFormat="1" applyBorder="1" applyAlignment="1">
      <alignment horizontal="center" vertical="center"/>
    </xf>
    <xf numFmtId="166" fontId="0" fillId="0" borderId="3" xfId="0" applyNumberFormat="1" applyBorder="1" applyAlignment="1">
      <alignment horizontal="center" vertical="center"/>
    </xf>
    <xf numFmtId="0" fontId="0" fillId="6" borderId="1" xfId="0" applyFont="1" applyFill="1" applyBorder="1"/>
    <xf numFmtId="0" fontId="10" fillId="0" borderId="4" xfId="0" applyFont="1" applyBorder="1" applyAlignment="1">
      <alignment horizontal="center" vertical="center"/>
    </xf>
    <xf numFmtId="0" fontId="10" fillId="0" borderId="1" xfId="0" applyFont="1" applyBorder="1" applyAlignment="1">
      <alignment horizontal="center" vertical="center"/>
    </xf>
    <xf numFmtId="0" fontId="0" fillId="9" borderId="1" xfId="0" applyFont="1" applyFill="1" applyBorder="1"/>
    <xf numFmtId="0" fontId="5" fillId="9" borderId="1" xfId="0" applyFont="1" applyFill="1" applyBorder="1"/>
    <xf numFmtId="0" fontId="0" fillId="8" borderId="1" xfId="0" applyFont="1" applyFill="1" applyBorder="1"/>
    <xf numFmtId="0" fontId="7" fillId="0" borderId="5" xfId="0" applyFont="1" applyBorder="1" applyAlignment="1">
      <alignment vertical="center"/>
    </xf>
    <xf numFmtId="0" fontId="0" fillId="0" borderId="5" xfId="0" applyBorder="1" applyAlignment="1">
      <alignment vertical="center" wrapText="1"/>
    </xf>
    <xf numFmtId="0" fontId="0" fillId="11" borderId="1" xfId="0" applyFont="1" applyFill="1" applyBorder="1"/>
    <xf numFmtId="0" fontId="0" fillId="0" borderId="0" xfId="0"/>
    <xf numFmtId="16" fontId="0" fillId="12" borderId="1" xfId="0" applyNumberFormat="1" applyFill="1" applyBorder="1"/>
    <xf numFmtId="0" fontId="5" fillId="0" borderId="1" xfId="0" applyFont="1" applyBorder="1"/>
    <xf numFmtId="0" fontId="0" fillId="0" borderId="1" xfId="0" applyFont="1" applyFill="1" applyBorder="1" applyAlignment="1">
      <alignment horizontal="center" vertical="center"/>
    </xf>
    <xf numFmtId="0" fontId="0" fillId="0" borderId="4" xfId="0" applyFont="1" applyFill="1" applyBorder="1"/>
    <xf numFmtId="0" fontId="9" fillId="2" borderId="7" xfId="0" applyFont="1" applyFill="1" applyBorder="1" applyAlignment="1">
      <alignment horizontal="center" vertical="center"/>
    </xf>
    <xf numFmtId="166" fontId="0" fillId="0" borderId="8" xfId="0" applyNumberFormat="1" applyBorder="1" applyAlignment="1">
      <alignment horizontal="center" vertical="center"/>
    </xf>
    <xf numFmtId="0" fontId="0" fillId="0" borderId="0" xfId="0" applyFont="1" applyBorder="1"/>
    <xf numFmtId="0" fontId="0" fillId="0" borderId="0" xfId="0" applyFont="1" applyFill="1" applyBorder="1"/>
    <xf numFmtId="49" fontId="0" fillId="0" borderId="0" xfId="0" applyNumberFormat="1"/>
    <xf numFmtId="0" fontId="2" fillId="2" borderId="1" xfId="0" applyFont="1" applyFill="1" applyBorder="1" applyAlignment="1">
      <alignment horizontal="center"/>
    </xf>
    <xf numFmtId="0" fontId="8" fillId="5" borderId="1" xfId="0" applyFont="1" applyFill="1" applyBorder="1" applyAlignment="1">
      <alignment horizontal="center" vertical="center"/>
    </xf>
    <xf numFmtId="0" fontId="8" fillId="8" borderId="4" xfId="0" applyFont="1" applyFill="1" applyBorder="1" applyAlignment="1">
      <alignment horizontal="center" vertical="center"/>
    </xf>
    <xf numFmtId="0" fontId="11" fillId="2" borderId="4" xfId="0" applyFont="1" applyFill="1" applyBorder="1" applyAlignment="1">
      <alignment horizontal="center" vertical="center"/>
    </xf>
    <xf numFmtId="0" fontId="0" fillId="0" borderId="1" xfId="0" applyFont="1" applyBorder="1" applyAlignment="1">
      <alignment horizontal="center" vertical="center"/>
    </xf>
    <xf numFmtId="0" fontId="12" fillId="0" borderId="1" xfId="0" applyFont="1" applyBorder="1" applyAlignment="1">
      <alignment horizontal="center" vertical="center"/>
    </xf>
    <xf numFmtId="0" fontId="0" fillId="0" borderId="1" xfId="0" applyFont="1" applyBorder="1" applyAlignment="1">
      <alignment horizontal="center" vertical="center" wrapText="1"/>
    </xf>
    <xf numFmtId="0" fontId="7" fillId="0" borderId="1" xfId="0" applyFont="1" applyBorder="1" applyAlignment="1">
      <alignment horizontal="center" vertical="center"/>
    </xf>
    <xf numFmtId="0" fontId="10" fillId="0" borderId="6" xfId="0" applyFont="1" applyBorder="1" applyAlignment="1">
      <alignment horizontal="center" vertical="center"/>
    </xf>
    <xf numFmtId="0" fontId="0" fillId="0" borderId="0" xfId="0" applyBorder="1" applyAlignment="1">
      <alignment horizontal="center"/>
    </xf>
    <xf numFmtId="0" fontId="10" fillId="10" borderId="1" xfId="0" applyFont="1" applyFill="1" applyBorder="1" applyAlignment="1">
      <alignment horizontal="center"/>
    </xf>
    <xf numFmtId="0" fontId="14" fillId="13" borderId="1" xfId="0" applyFont="1" applyFill="1" applyBorder="1"/>
    <xf numFmtId="0" fontId="14" fillId="13" borderId="0" xfId="0" applyFont="1" applyFill="1"/>
    <xf numFmtId="49" fontId="10" fillId="14" borderId="1" xfId="0" applyNumberFormat="1" applyFont="1" applyFill="1" applyBorder="1" applyAlignment="1">
      <alignment horizontal="center" vertical="center" wrapText="1"/>
    </xf>
    <xf numFmtId="172" fontId="0" fillId="14" borderId="1" xfId="0" applyNumberFormat="1" applyFill="1" applyBorder="1"/>
    <xf numFmtId="0" fontId="0" fillId="14" borderId="1" xfId="0" applyFill="1" applyBorder="1" applyAlignment="1">
      <alignment wrapText="1"/>
    </xf>
    <xf numFmtId="0" fontId="0" fillId="14" borderId="1" xfId="0" applyFill="1" applyBorder="1"/>
    <xf numFmtId="0" fontId="10" fillId="15" borderId="1" xfId="0" applyFont="1" applyFill="1" applyBorder="1" applyAlignment="1">
      <alignment horizontal="center" vertical="center" wrapText="1"/>
    </xf>
    <xf numFmtId="172" fontId="0" fillId="15" borderId="1" xfId="0" applyNumberFormat="1" applyFill="1" applyBorder="1"/>
    <xf numFmtId="0" fontId="0" fillId="15" borderId="1" xfId="0" applyFill="1" applyBorder="1" applyAlignment="1">
      <alignment wrapText="1"/>
    </xf>
    <xf numFmtId="0" fontId="0" fillId="15" borderId="1" xfId="0" applyFill="1" applyBorder="1"/>
    <xf numFmtId="0" fontId="10" fillId="14" borderId="1" xfId="0" applyFont="1" applyFill="1" applyBorder="1" applyAlignment="1">
      <alignment horizontal="center" vertical="center" wrapText="1"/>
    </xf>
  </cellXfs>
  <cellStyles count="2">
    <cellStyle name="Normal" xfId="0" builtinId="0"/>
    <cellStyle name="Normal 4" xfId="1" xr:uid="{00000000-0005-0000-0000-000006000000}"/>
  </cellStyles>
  <dxfs count="0"/>
  <tableStyles count="0" defaultTableStyle="TableStyleMedium2" defaultPivotStyle="PivotStyleLight16"/>
  <colors>
    <indexedColors>
      <rgbColor rgb="FF000000"/>
      <rgbColor rgb="FFFFFFFF"/>
      <rgbColor rgb="FFC00000"/>
      <rgbColor rgb="FF00FF00"/>
      <rgbColor rgb="FF0000FF"/>
      <rgbColor rgb="FFFFFF00"/>
      <rgbColor rgb="FFFF00FF"/>
      <rgbColor rgb="FF00FFFF"/>
      <rgbColor rgb="FF800000"/>
      <rgbColor rgb="FF008000"/>
      <rgbColor rgb="FF000080"/>
      <rgbColor rgb="FF548235"/>
      <rgbColor rgb="FF800080"/>
      <rgbColor rgb="FF5B9BD5"/>
      <rgbColor rgb="FF92D050"/>
      <rgbColor rgb="FF70AD47"/>
      <rgbColor rgb="FF71A6DA"/>
      <rgbColor rgb="FF993366"/>
      <rgbColor rgb="FFF2F2F2"/>
      <rgbColor rgb="FFE7E6E6"/>
      <rgbColor rgb="FF660066"/>
      <rgbColor rgb="FFFF8080"/>
      <rgbColor rgb="FF0066CC"/>
      <rgbColor rgb="FFD9D9D9"/>
      <rgbColor rgb="FF000080"/>
      <rgbColor rgb="FFFF00FF"/>
      <rgbColor rgb="FFFFFF00"/>
      <rgbColor rgb="FF00FFFF"/>
      <rgbColor rgb="FF800080"/>
      <rgbColor rgb="FF800000"/>
      <rgbColor rgb="FF008080"/>
      <rgbColor rgb="FF0000FF"/>
      <rgbColor rgb="FF00B0F0"/>
      <rgbColor rgb="FFCCFFFF"/>
      <rgbColor rgb="FFCCFFCC"/>
      <rgbColor rgb="FFFFFF99"/>
      <rgbColor rgb="FF99CCFF"/>
      <rgbColor rgb="FFFF99CC"/>
      <rgbColor rgb="FFCC99FF"/>
      <rgbColor rgb="FFFFCC99"/>
      <rgbColor rgb="FF4472C4"/>
      <rgbColor rgb="FF549ADA"/>
      <rgbColor rgb="FF81D41A"/>
      <rgbColor rgb="FFFFC000"/>
      <rgbColor rgb="FFFF9900"/>
      <rgbColor rgb="FFED7D31"/>
      <rgbColor rgb="FF595959"/>
      <rgbColor rgb="FFA5A5A5"/>
      <rgbColor rgb="FF003366"/>
      <rgbColor rgb="FF00B050"/>
      <rgbColor rgb="FF003300"/>
      <rgbColor rgb="FF262626"/>
      <rgbColor rgb="FF993300"/>
      <rgbColor rgb="FF993366"/>
      <rgbColor rgb="FF333399"/>
      <rgbColor rgb="FF373737"/>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600" b="1" strike="noStrike" spc="97">
                <a:solidFill>
                  <a:srgbClr val="F2F2F2"/>
                </a:solidFill>
                <a:latin typeface="Calibri"/>
              </a:defRPr>
            </a:pPr>
            <a:r>
              <a:rPr lang="en-US" sz="1600" b="1" strike="noStrike" spc="97">
                <a:solidFill>
                  <a:srgbClr val="F2F2F2"/>
                </a:solidFill>
                <a:latin typeface="Calibri"/>
              </a:rPr>
              <a:t>US Services PMI</a:t>
            </a:r>
          </a:p>
        </c:rich>
      </c:tx>
      <c:overlay val="0"/>
      <c:spPr>
        <a:noFill/>
        <a:ln>
          <a:noFill/>
        </a:ln>
      </c:spPr>
    </c:title>
    <c:autoTitleDeleted val="0"/>
    <c:plotArea>
      <c:layout/>
      <c:barChart>
        <c:barDir val="col"/>
        <c:grouping val="clustered"/>
        <c:varyColors val="0"/>
        <c:ser>
          <c:idx val="0"/>
          <c:order val="0"/>
          <c:spPr>
            <a:gradFill>
              <a:gsLst>
                <a:gs pos="0">
                  <a:srgbClr val="71A6DA"/>
                </a:gs>
                <a:gs pos="100000">
                  <a:srgbClr val="549ADA"/>
                </a:gs>
              </a:gsLst>
              <a:lin ang="5400000"/>
            </a:gradFill>
            <a:ln>
              <a:noFill/>
            </a:ln>
          </c:spPr>
          <c:invertIfNegative val="0"/>
          <c:dLbls>
            <c:spPr>
              <a:noFill/>
              <a:ln>
                <a:noFill/>
              </a:ln>
              <a:effectLst/>
            </c:spPr>
            <c:txPr>
              <a:bodyPr/>
              <a:lstStyle/>
              <a:p>
                <a:pPr>
                  <a:defRPr sz="1000" b="0" strike="noStrike" spc="-1">
                    <a:solidFill>
                      <a:srgbClr val="000000"/>
                    </a:solidFill>
                    <a:latin typeface="Calibri"/>
                  </a:defRPr>
                </a:pPr>
                <a:endParaRPr lang="bg-BG"/>
              </a:p>
            </c:txPr>
            <c:dLblPos val="outEnd"/>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trendline>
            <c:spPr>
              <a:ln w="19080">
                <a:solidFill>
                  <a:srgbClr val="FFFF00"/>
                </a:solidFill>
                <a:round/>
              </a:ln>
            </c:spPr>
            <c:trendlineType val="linear"/>
            <c:dispRSqr val="0"/>
            <c:dispEq val="0"/>
          </c:trendline>
          <c:cat>
            <c:strRef>
              <c:f>'MAIN-Analisys'!$A$141:$FV$141</c:f>
              <c:strCache>
                <c:ptCount val="178"/>
                <c:pt idx="0">
                  <c:v>MAIN NMI</c:v>
                </c:pt>
                <c:pt idx="1">
                  <c:v>01.11.2006</c:v>
                </c:pt>
                <c:pt idx="2">
                  <c:v>01.12.2006</c:v>
                </c:pt>
                <c:pt idx="3">
                  <c:v>01.1.2007</c:v>
                </c:pt>
                <c:pt idx="4">
                  <c:v>01.2.2007</c:v>
                </c:pt>
                <c:pt idx="5">
                  <c:v>01.3.2007</c:v>
                </c:pt>
                <c:pt idx="6">
                  <c:v>01.4.2007</c:v>
                </c:pt>
                <c:pt idx="7">
                  <c:v>01.5.2007</c:v>
                </c:pt>
                <c:pt idx="8">
                  <c:v>01.6.2007</c:v>
                </c:pt>
                <c:pt idx="9">
                  <c:v>01.7.2007</c:v>
                </c:pt>
                <c:pt idx="10">
                  <c:v>01.8.2007</c:v>
                </c:pt>
                <c:pt idx="11">
                  <c:v>01.9.2007</c:v>
                </c:pt>
                <c:pt idx="12">
                  <c:v>01.10.2007</c:v>
                </c:pt>
                <c:pt idx="13">
                  <c:v>01.11.2007</c:v>
                </c:pt>
                <c:pt idx="14">
                  <c:v>01.12.2007</c:v>
                </c:pt>
                <c:pt idx="15">
                  <c:v>01.1.2008</c:v>
                </c:pt>
                <c:pt idx="16">
                  <c:v>01.2.2008</c:v>
                </c:pt>
                <c:pt idx="17">
                  <c:v>01.3.2008</c:v>
                </c:pt>
                <c:pt idx="18">
                  <c:v>01.4.2008</c:v>
                </c:pt>
                <c:pt idx="19">
                  <c:v>01.5.2008</c:v>
                </c:pt>
                <c:pt idx="20">
                  <c:v>01.6.2008</c:v>
                </c:pt>
                <c:pt idx="21">
                  <c:v>01.7.2008</c:v>
                </c:pt>
                <c:pt idx="22">
                  <c:v>01.8.2008</c:v>
                </c:pt>
                <c:pt idx="23">
                  <c:v>01.9.2008</c:v>
                </c:pt>
                <c:pt idx="24">
                  <c:v>01.10.2008</c:v>
                </c:pt>
                <c:pt idx="25">
                  <c:v>01.11.2008</c:v>
                </c:pt>
                <c:pt idx="26">
                  <c:v>01.12.2008</c:v>
                </c:pt>
                <c:pt idx="27">
                  <c:v>01.1.2009</c:v>
                </c:pt>
                <c:pt idx="28">
                  <c:v>01.2.2009</c:v>
                </c:pt>
                <c:pt idx="29">
                  <c:v>01.3.2009</c:v>
                </c:pt>
                <c:pt idx="30">
                  <c:v>01.4.2009</c:v>
                </c:pt>
                <c:pt idx="31">
                  <c:v>01.5.2009</c:v>
                </c:pt>
                <c:pt idx="32">
                  <c:v>01.6.2009</c:v>
                </c:pt>
                <c:pt idx="33">
                  <c:v>01.7.2009</c:v>
                </c:pt>
                <c:pt idx="34">
                  <c:v>01.8.2009</c:v>
                </c:pt>
                <c:pt idx="35">
                  <c:v>01.9.2009</c:v>
                </c:pt>
                <c:pt idx="36">
                  <c:v>01.10.2009</c:v>
                </c:pt>
                <c:pt idx="37">
                  <c:v>01.11.2009</c:v>
                </c:pt>
                <c:pt idx="38">
                  <c:v>01.12.2009</c:v>
                </c:pt>
                <c:pt idx="39">
                  <c:v>01.1.2010</c:v>
                </c:pt>
                <c:pt idx="40">
                  <c:v>01.2.2010</c:v>
                </c:pt>
                <c:pt idx="41">
                  <c:v>01.3.2010</c:v>
                </c:pt>
                <c:pt idx="42">
                  <c:v>01.4.2010</c:v>
                </c:pt>
                <c:pt idx="43">
                  <c:v>01.5.2010</c:v>
                </c:pt>
                <c:pt idx="44">
                  <c:v>01.6.2010</c:v>
                </c:pt>
                <c:pt idx="45">
                  <c:v>01.7.2010</c:v>
                </c:pt>
                <c:pt idx="46">
                  <c:v>01.8.2010</c:v>
                </c:pt>
                <c:pt idx="47">
                  <c:v>01.9.2010</c:v>
                </c:pt>
                <c:pt idx="48">
                  <c:v>01.10.2010</c:v>
                </c:pt>
                <c:pt idx="49">
                  <c:v>01.11.2010</c:v>
                </c:pt>
                <c:pt idx="50">
                  <c:v>01.12.2010</c:v>
                </c:pt>
                <c:pt idx="51">
                  <c:v>01.1.2011</c:v>
                </c:pt>
                <c:pt idx="52">
                  <c:v>01.2.2011</c:v>
                </c:pt>
                <c:pt idx="53">
                  <c:v>01.3.2011</c:v>
                </c:pt>
                <c:pt idx="54">
                  <c:v>01.4.2011</c:v>
                </c:pt>
                <c:pt idx="55">
                  <c:v>01.5.2011</c:v>
                </c:pt>
                <c:pt idx="56">
                  <c:v>01.6.2011</c:v>
                </c:pt>
                <c:pt idx="57">
                  <c:v>01.7.2011</c:v>
                </c:pt>
                <c:pt idx="58">
                  <c:v>01.8.2011</c:v>
                </c:pt>
                <c:pt idx="59">
                  <c:v>01.9.2011</c:v>
                </c:pt>
                <c:pt idx="60">
                  <c:v>01.10.2011</c:v>
                </c:pt>
                <c:pt idx="61">
                  <c:v>01.11.2011</c:v>
                </c:pt>
                <c:pt idx="62">
                  <c:v>01.12.2011</c:v>
                </c:pt>
                <c:pt idx="63">
                  <c:v>01.1.2012</c:v>
                </c:pt>
                <c:pt idx="64">
                  <c:v>01.2.2012</c:v>
                </c:pt>
                <c:pt idx="65">
                  <c:v>01.3.2012</c:v>
                </c:pt>
                <c:pt idx="66">
                  <c:v>01.4.2012</c:v>
                </c:pt>
                <c:pt idx="67">
                  <c:v>01.5.2012</c:v>
                </c:pt>
                <c:pt idx="68">
                  <c:v>01.6.2012</c:v>
                </c:pt>
                <c:pt idx="69">
                  <c:v>01.7.2012</c:v>
                </c:pt>
                <c:pt idx="70">
                  <c:v>01.8.2012</c:v>
                </c:pt>
                <c:pt idx="71">
                  <c:v>01.9.2012</c:v>
                </c:pt>
                <c:pt idx="72">
                  <c:v>01.10.2012</c:v>
                </c:pt>
                <c:pt idx="73">
                  <c:v>01.11.2012</c:v>
                </c:pt>
                <c:pt idx="74">
                  <c:v>01.12.2012</c:v>
                </c:pt>
                <c:pt idx="75">
                  <c:v>01.1.2013</c:v>
                </c:pt>
                <c:pt idx="76">
                  <c:v>01.2.2013</c:v>
                </c:pt>
                <c:pt idx="77">
                  <c:v>01.3.2013</c:v>
                </c:pt>
                <c:pt idx="78">
                  <c:v>01.4.2013</c:v>
                </c:pt>
                <c:pt idx="79">
                  <c:v>01.5.2013</c:v>
                </c:pt>
                <c:pt idx="80">
                  <c:v>01.6.2013</c:v>
                </c:pt>
                <c:pt idx="81">
                  <c:v>01.7.2013</c:v>
                </c:pt>
                <c:pt idx="82">
                  <c:v>01.8.2013</c:v>
                </c:pt>
                <c:pt idx="83">
                  <c:v>01.9.2013</c:v>
                </c:pt>
                <c:pt idx="84">
                  <c:v>01.10.2013</c:v>
                </c:pt>
                <c:pt idx="85">
                  <c:v>01.11.2013</c:v>
                </c:pt>
                <c:pt idx="86">
                  <c:v>01.12.2013</c:v>
                </c:pt>
                <c:pt idx="87">
                  <c:v>01.1.2014</c:v>
                </c:pt>
                <c:pt idx="88">
                  <c:v>01.2.2014</c:v>
                </c:pt>
                <c:pt idx="89">
                  <c:v>01.3.2014</c:v>
                </c:pt>
                <c:pt idx="90">
                  <c:v>01.4.2014</c:v>
                </c:pt>
                <c:pt idx="91">
                  <c:v>01.5.2014</c:v>
                </c:pt>
                <c:pt idx="92">
                  <c:v>01.6.2014</c:v>
                </c:pt>
                <c:pt idx="93">
                  <c:v>01.7.2014</c:v>
                </c:pt>
                <c:pt idx="94">
                  <c:v>01.8.2014</c:v>
                </c:pt>
                <c:pt idx="95">
                  <c:v>01.9.2014</c:v>
                </c:pt>
                <c:pt idx="96">
                  <c:v>01.10.2014</c:v>
                </c:pt>
                <c:pt idx="97">
                  <c:v>01.11.2014</c:v>
                </c:pt>
                <c:pt idx="98">
                  <c:v>01.12.2014</c:v>
                </c:pt>
                <c:pt idx="99">
                  <c:v>01.1.2015</c:v>
                </c:pt>
                <c:pt idx="100">
                  <c:v>01.2.2015</c:v>
                </c:pt>
                <c:pt idx="101">
                  <c:v>01.3.2015</c:v>
                </c:pt>
                <c:pt idx="102">
                  <c:v>01.4.2015</c:v>
                </c:pt>
                <c:pt idx="103">
                  <c:v>01.5.2015</c:v>
                </c:pt>
                <c:pt idx="104">
                  <c:v>01.6.2015</c:v>
                </c:pt>
                <c:pt idx="105">
                  <c:v>01.7.2015</c:v>
                </c:pt>
                <c:pt idx="106">
                  <c:v>01.8.2015</c:v>
                </c:pt>
                <c:pt idx="107">
                  <c:v>01.9.2015</c:v>
                </c:pt>
                <c:pt idx="108">
                  <c:v>01.10.2015</c:v>
                </c:pt>
                <c:pt idx="109">
                  <c:v>01.11.2015</c:v>
                </c:pt>
                <c:pt idx="110">
                  <c:v>01.12.2015</c:v>
                </c:pt>
                <c:pt idx="111">
                  <c:v>01.1.2016</c:v>
                </c:pt>
                <c:pt idx="112">
                  <c:v>01.2.2016</c:v>
                </c:pt>
                <c:pt idx="113">
                  <c:v>01.3.2016</c:v>
                </c:pt>
                <c:pt idx="114">
                  <c:v>01.4.2016</c:v>
                </c:pt>
                <c:pt idx="115">
                  <c:v>01.5.2016</c:v>
                </c:pt>
                <c:pt idx="116">
                  <c:v>01.6.2016</c:v>
                </c:pt>
                <c:pt idx="117">
                  <c:v>01.7.2016</c:v>
                </c:pt>
                <c:pt idx="118">
                  <c:v>01.8.2016</c:v>
                </c:pt>
                <c:pt idx="119">
                  <c:v>01.9.2016</c:v>
                </c:pt>
                <c:pt idx="120">
                  <c:v>01.10.2016</c:v>
                </c:pt>
                <c:pt idx="121">
                  <c:v>01.11.2016</c:v>
                </c:pt>
                <c:pt idx="122">
                  <c:v>01.12.2016</c:v>
                </c:pt>
                <c:pt idx="123">
                  <c:v>01.1.2017</c:v>
                </c:pt>
                <c:pt idx="124">
                  <c:v>01.2.2017</c:v>
                </c:pt>
                <c:pt idx="125">
                  <c:v>01.3.2017</c:v>
                </c:pt>
                <c:pt idx="126">
                  <c:v>01.4.2017</c:v>
                </c:pt>
                <c:pt idx="127">
                  <c:v>01.5.2017</c:v>
                </c:pt>
                <c:pt idx="128">
                  <c:v>01.6.2017</c:v>
                </c:pt>
                <c:pt idx="129">
                  <c:v>01.7.2017</c:v>
                </c:pt>
                <c:pt idx="130">
                  <c:v>01.8.2017</c:v>
                </c:pt>
                <c:pt idx="131">
                  <c:v>01.9.2017</c:v>
                </c:pt>
                <c:pt idx="132">
                  <c:v>01.10.2017</c:v>
                </c:pt>
                <c:pt idx="133">
                  <c:v>01.11.2017</c:v>
                </c:pt>
                <c:pt idx="134">
                  <c:v>01.12.2017</c:v>
                </c:pt>
                <c:pt idx="135">
                  <c:v>01.1.2018</c:v>
                </c:pt>
                <c:pt idx="136">
                  <c:v>01.2.2018</c:v>
                </c:pt>
                <c:pt idx="137">
                  <c:v>01.3.2018</c:v>
                </c:pt>
                <c:pt idx="138">
                  <c:v>01.4.2018</c:v>
                </c:pt>
                <c:pt idx="139">
                  <c:v>01.5.2018</c:v>
                </c:pt>
                <c:pt idx="140">
                  <c:v>01.6.2018</c:v>
                </c:pt>
                <c:pt idx="141">
                  <c:v>01.7.2018</c:v>
                </c:pt>
                <c:pt idx="142">
                  <c:v>01.8.2018</c:v>
                </c:pt>
                <c:pt idx="143">
                  <c:v>01.9.2018</c:v>
                </c:pt>
                <c:pt idx="144">
                  <c:v>01.10.2018</c:v>
                </c:pt>
                <c:pt idx="145">
                  <c:v>01.11.2018</c:v>
                </c:pt>
                <c:pt idx="146">
                  <c:v>01.12.2018</c:v>
                </c:pt>
                <c:pt idx="147">
                  <c:v>01.1.2019</c:v>
                </c:pt>
                <c:pt idx="148">
                  <c:v>01.2.2019</c:v>
                </c:pt>
                <c:pt idx="149">
                  <c:v>01.3.2019</c:v>
                </c:pt>
                <c:pt idx="150">
                  <c:v>01.4.2019</c:v>
                </c:pt>
                <c:pt idx="151">
                  <c:v>01.5.2019</c:v>
                </c:pt>
                <c:pt idx="152">
                  <c:v>01.6.2019</c:v>
                </c:pt>
                <c:pt idx="153">
                  <c:v>01.7.2019</c:v>
                </c:pt>
                <c:pt idx="154">
                  <c:v>01.8.2019</c:v>
                </c:pt>
                <c:pt idx="155">
                  <c:v>01.9.2019</c:v>
                </c:pt>
                <c:pt idx="156">
                  <c:v>01.10.2019</c:v>
                </c:pt>
                <c:pt idx="157">
                  <c:v>01.11.2019</c:v>
                </c:pt>
                <c:pt idx="158">
                  <c:v>01.12.2019</c:v>
                </c:pt>
                <c:pt idx="159">
                  <c:v>01.1.2020</c:v>
                </c:pt>
                <c:pt idx="160">
                  <c:v>01.2.2020</c:v>
                </c:pt>
                <c:pt idx="161">
                  <c:v>01.3.2020</c:v>
                </c:pt>
                <c:pt idx="162">
                  <c:v>01.4.2020</c:v>
                </c:pt>
                <c:pt idx="163">
                  <c:v>01.5.2020</c:v>
                </c:pt>
                <c:pt idx="164">
                  <c:v>01.6.2020</c:v>
                </c:pt>
                <c:pt idx="165">
                  <c:v>01.7.2020</c:v>
                </c:pt>
                <c:pt idx="166">
                  <c:v>01.8.2020</c:v>
                </c:pt>
                <c:pt idx="167">
                  <c:v>01.9.2020</c:v>
                </c:pt>
                <c:pt idx="168">
                  <c:v>01.10.2020</c:v>
                </c:pt>
                <c:pt idx="169">
                  <c:v>01.11.2020</c:v>
                </c:pt>
                <c:pt idx="170">
                  <c:v>01.12.2020</c:v>
                </c:pt>
                <c:pt idx="171">
                  <c:v>01.1.2021</c:v>
                </c:pt>
                <c:pt idx="172">
                  <c:v>01.2.2021</c:v>
                </c:pt>
                <c:pt idx="173">
                  <c:v>01.3.2021</c:v>
                </c:pt>
                <c:pt idx="174">
                  <c:v>01.4.2021</c:v>
                </c:pt>
                <c:pt idx="175">
                  <c:v>01.5.2021</c:v>
                </c:pt>
                <c:pt idx="176">
                  <c:v>01.6.2021</c:v>
                </c:pt>
                <c:pt idx="177">
                  <c:v>01.7.2021</c:v>
                </c:pt>
              </c:strCache>
            </c:strRef>
          </c:cat>
          <c:val>
            <c:numRef>
              <c:f>'MAIN-Analisys'!$A$142:$FV$142</c:f>
              <c:numCache>
                <c:formatCode>General</c:formatCode>
                <c:ptCount val="178"/>
                <c:pt idx="1">
                  <c:v>54.5</c:v>
                </c:pt>
                <c:pt idx="2">
                  <c:v>53.7</c:v>
                </c:pt>
                <c:pt idx="3">
                  <c:v>55.6</c:v>
                </c:pt>
                <c:pt idx="4">
                  <c:v>54.2</c:v>
                </c:pt>
                <c:pt idx="5">
                  <c:v>52</c:v>
                </c:pt>
                <c:pt idx="6">
                  <c:v>53.3</c:v>
                </c:pt>
                <c:pt idx="7">
                  <c:v>54.2</c:v>
                </c:pt>
                <c:pt idx="8">
                  <c:v>55.3</c:v>
                </c:pt>
                <c:pt idx="9">
                  <c:v>53.6</c:v>
                </c:pt>
                <c:pt idx="10">
                  <c:v>52.8</c:v>
                </c:pt>
                <c:pt idx="11">
                  <c:v>52.5</c:v>
                </c:pt>
                <c:pt idx="12">
                  <c:v>53.5</c:v>
                </c:pt>
                <c:pt idx="13">
                  <c:v>52.7</c:v>
                </c:pt>
                <c:pt idx="14">
                  <c:v>52.5</c:v>
                </c:pt>
                <c:pt idx="15">
                  <c:v>45</c:v>
                </c:pt>
                <c:pt idx="16">
                  <c:v>49.3</c:v>
                </c:pt>
                <c:pt idx="17">
                  <c:v>49.6</c:v>
                </c:pt>
                <c:pt idx="18">
                  <c:v>52</c:v>
                </c:pt>
                <c:pt idx="19">
                  <c:v>51.7</c:v>
                </c:pt>
                <c:pt idx="20">
                  <c:v>48.2</c:v>
                </c:pt>
                <c:pt idx="21">
                  <c:v>49.5</c:v>
                </c:pt>
                <c:pt idx="22">
                  <c:v>50.6</c:v>
                </c:pt>
                <c:pt idx="23">
                  <c:v>50.2</c:v>
                </c:pt>
                <c:pt idx="24">
                  <c:v>44.4</c:v>
                </c:pt>
                <c:pt idx="25">
                  <c:v>37.299999999999997</c:v>
                </c:pt>
                <c:pt idx="26">
                  <c:v>40.6</c:v>
                </c:pt>
                <c:pt idx="27">
                  <c:v>42.9</c:v>
                </c:pt>
                <c:pt idx="28">
                  <c:v>41.6</c:v>
                </c:pt>
                <c:pt idx="29">
                  <c:v>40.799999999999997</c:v>
                </c:pt>
                <c:pt idx="30">
                  <c:v>43.7</c:v>
                </c:pt>
                <c:pt idx="31">
                  <c:v>44</c:v>
                </c:pt>
                <c:pt idx="32">
                  <c:v>47</c:v>
                </c:pt>
                <c:pt idx="33">
                  <c:v>46.4</c:v>
                </c:pt>
                <c:pt idx="34">
                  <c:v>48.4</c:v>
                </c:pt>
                <c:pt idx="35">
                  <c:v>50.9</c:v>
                </c:pt>
                <c:pt idx="36">
                  <c:v>50.6</c:v>
                </c:pt>
                <c:pt idx="37">
                  <c:v>48.7</c:v>
                </c:pt>
                <c:pt idx="38">
                  <c:v>50.1</c:v>
                </c:pt>
                <c:pt idx="39">
                  <c:v>50.5</c:v>
                </c:pt>
                <c:pt idx="40">
                  <c:v>53</c:v>
                </c:pt>
                <c:pt idx="41">
                  <c:v>55.4</c:v>
                </c:pt>
                <c:pt idx="42">
                  <c:v>55.4</c:v>
                </c:pt>
                <c:pt idx="43">
                  <c:v>55.4</c:v>
                </c:pt>
                <c:pt idx="44">
                  <c:v>53.8</c:v>
                </c:pt>
                <c:pt idx="45">
                  <c:v>54.3</c:v>
                </c:pt>
                <c:pt idx="46">
                  <c:v>51.5</c:v>
                </c:pt>
                <c:pt idx="47">
                  <c:v>53.2</c:v>
                </c:pt>
                <c:pt idx="48">
                  <c:v>54.3</c:v>
                </c:pt>
                <c:pt idx="49">
                  <c:v>55</c:v>
                </c:pt>
                <c:pt idx="50">
                  <c:v>57.1</c:v>
                </c:pt>
                <c:pt idx="51">
                  <c:v>59.4</c:v>
                </c:pt>
                <c:pt idx="52">
                  <c:v>59.7</c:v>
                </c:pt>
                <c:pt idx="53">
                  <c:v>57.3</c:v>
                </c:pt>
                <c:pt idx="54">
                  <c:v>52.8</c:v>
                </c:pt>
                <c:pt idx="55">
                  <c:v>54.6</c:v>
                </c:pt>
                <c:pt idx="56">
                  <c:v>53.3</c:v>
                </c:pt>
                <c:pt idx="57">
                  <c:v>52.7</c:v>
                </c:pt>
                <c:pt idx="58">
                  <c:v>53.3</c:v>
                </c:pt>
                <c:pt idx="59">
                  <c:v>53</c:v>
                </c:pt>
                <c:pt idx="60">
                  <c:v>52.9</c:v>
                </c:pt>
                <c:pt idx="61">
                  <c:v>52</c:v>
                </c:pt>
                <c:pt idx="62">
                  <c:v>52.6</c:v>
                </c:pt>
                <c:pt idx="63">
                  <c:v>56.8</c:v>
                </c:pt>
                <c:pt idx="64">
                  <c:v>57.3</c:v>
                </c:pt>
                <c:pt idx="65">
                  <c:v>56</c:v>
                </c:pt>
                <c:pt idx="66">
                  <c:v>53.5</c:v>
                </c:pt>
                <c:pt idx="67">
                  <c:v>53.7</c:v>
                </c:pt>
                <c:pt idx="68">
                  <c:v>52.1</c:v>
                </c:pt>
                <c:pt idx="69">
                  <c:v>52.6</c:v>
                </c:pt>
                <c:pt idx="70">
                  <c:v>53.7</c:v>
                </c:pt>
                <c:pt idx="71">
                  <c:v>55.1</c:v>
                </c:pt>
                <c:pt idx="72">
                  <c:v>54.2</c:v>
                </c:pt>
                <c:pt idx="73">
                  <c:v>54.7</c:v>
                </c:pt>
                <c:pt idx="74">
                  <c:v>56.1</c:v>
                </c:pt>
                <c:pt idx="75">
                  <c:v>55.2</c:v>
                </c:pt>
                <c:pt idx="76">
                  <c:v>56</c:v>
                </c:pt>
                <c:pt idx="77">
                  <c:v>54.4</c:v>
                </c:pt>
                <c:pt idx="78">
                  <c:v>53.1</c:v>
                </c:pt>
                <c:pt idx="79">
                  <c:v>53.7</c:v>
                </c:pt>
                <c:pt idx="80">
                  <c:v>52.2</c:v>
                </c:pt>
                <c:pt idx="81">
                  <c:v>56</c:v>
                </c:pt>
                <c:pt idx="82">
                  <c:v>58.6</c:v>
                </c:pt>
                <c:pt idx="83">
                  <c:v>54.4</c:v>
                </c:pt>
                <c:pt idx="84">
                  <c:v>55.4</c:v>
                </c:pt>
                <c:pt idx="85">
                  <c:v>53.9</c:v>
                </c:pt>
                <c:pt idx="86">
                  <c:v>53</c:v>
                </c:pt>
                <c:pt idx="87">
                  <c:v>54</c:v>
                </c:pt>
                <c:pt idx="88">
                  <c:v>51.6</c:v>
                </c:pt>
                <c:pt idx="89">
                  <c:v>53.1</c:v>
                </c:pt>
                <c:pt idx="90">
                  <c:v>55.2</c:v>
                </c:pt>
                <c:pt idx="91">
                  <c:v>56.3</c:v>
                </c:pt>
                <c:pt idx="92">
                  <c:v>56</c:v>
                </c:pt>
                <c:pt idx="93">
                  <c:v>58.7</c:v>
                </c:pt>
                <c:pt idx="94">
                  <c:v>59.6</c:v>
                </c:pt>
                <c:pt idx="95">
                  <c:v>58.6</c:v>
                </c:pt>
                <c:pt idx="96">
                  <c:v>57.1</c:v>
                </c:pt>
                <c:pt idx="97">
                  <c:v>59.3</c:v>
                </c:pt>
                <c:pt idx="98">
                  <c:v>56.2</c:v>
                </c:pt>
                <c:pt idx="99">
                  <c:v>56.7</c:v>
                </c:pt>
                <c:pt idx="100">
                  <c:v>56.9</c:v>
                </c:pt>
                <c:pt idx="101">
                  <c:v>56.5</c:v>
                </c:pt>
                <c:pt idx="102">
                  <c:v>57.8</c:v>
                </c:pt>
                <c:pt idx="103">
                  <c:v>55.7</c:v>
                </c:pt>
                <c:pt idx="104">
                  <c:v>56</c:v>
                </c:pt>
                <c:pt idx="105">
                  <c:v>60.3</c:v>
                </c:pt>
                <c:pt idx="106">
                  <c:v>59</c:v>
                </c:pt>
                <c:pt idx="107">
                  <c:v>56.9</c:v>
                </c:pt>
                <c:pt idx="108">
                  <c:v>59.1</c:v>
                </c:pt>
                <c:pt idx="109">
                  <c:v>55.9</c:v>
                </c:pt>
                <c:pt idx="110">
                  <c:v>55.3</c:v>
                </c:pt>
                <c:pt idx="111">
                  <c:v>53.5</c:v>
                </c:pt>
                <c:pt idx="112">
                  <c:v>53.4</c:v>
                </c:pt>
                <c:pt idx="113">
                  <c:v>54.5</c:v>
                </c:pt>
                <c:pt idx="114">
                  <c:v>55.7</c:v>
                </c:pt>
                <c:pt idx="115">
                  <c:v>52.9</c:v>
                </c:pt>
                <c:pt idx="116">
                  <c:v>56.5</c:v>
                </c:pt>
                <c:pt idx="117">
                  <c:v>55.5</c:v>
                </c:pt>
                <c:pt idx="118">
                  <c:v>51.4</c:v>
                </c:pt>
                <c:pt idx="119">
                  <c:v>57.1</c:v>
                </c:pt>
                <c:pt idx="120">
                  <c:v>54.8</c:v>
                </c:pt>
                <c:pt idx="121">
                  <c:v>57.2</c:v>
                </c:pt>
                <c:pt idx="122">
                  <c:v>57.2</c:v>
                </c:pt>
                <c:pt idx="123">
                  <c:v>56.5</c:v>
                </c:pt>
                <c:pt idx="124">
                  <c:v>57.6</c:v>
                </c:pt>
                <c:pt idx="125">
                  <c:v>55.2</c:v>
                </c:pt>
                <c:pt idx="126">
                  <c:v>57.5</c:v>
                </c:pt>
                <c:pt idx="127">
                  <c:v>56.9</c:v>
                </c:pt>
                <c:pt idx="128">
                  <c:v>57.4</c:v>
                </c:pt>
                <c:pt idx="129">
                  <c:v>53.9</c:v>
                </c:pt>
                <c:pt idx="130">
                  <c:v>55.3</c:v>
                </c:pt>
                <c:pt idx="131">
                  <c:v>59.8</c:v>
                </c:pt>
                <c:pt idx="132">
                  <c:v>60.1</c:v>
                </c:pt>
                <c:pt idx="133">
                  <c:v>57.4</c:v>
                </c:pt>
                <c:pt idx="134">
                  <c:v>55.9</c:v>
                </c:pt>
                <c:pt idx="135">
                  <c:v>59.9</c:v>
                </c:pt>
                <c:pt idx="136">
                  <c:v>59.5</c:v>
                </c:pt>
                <c:pt idx="137">
                  <c:v>58.8</c:v>
                </c:pt>
                <c:pt idx="138">
                  <c:v>56.8</c:v>
                </c:pt>
                <c:pt idx="139">
                  <c:v>58.6</c:v>
                </c:pt>
                <c:pt idx="140">
                  <c:v>59.1</c:v>
                </c:pt>
                <c:pt idx="141">
                  <c:v>55.7</c:v>
                </c:pt>
                <c:pt idx="142">
                  <c:v>58.5</c:v>
                </c:pt>
                <c:pt idx="143">
                  <c:v>61.6</c:v>
                </c:pt>
                <c:pt idx="144">
                  <c:v>60.3</c:v>
                </c:pt>
                <c:pt idx="145">
                  <c:v>60.7</c:v>
                </c:pt>
                <c:pt idx="146">
                  <c:v>57.6</c:v>
                </c:pt>
                <c:pt idx="147">
                  <c:v>56.7</c:v>
                </c:pt>
                <c:pt idx="148">
                  <c:v>59.7</c:v>
                </c:pt>
                <c:pt idx="149">
                  <c:v>56.1</c:v>
                </c:pt>
                <c:pt idx="150">
                  <c:v>55.5</c:v>
                </c:pt>
                <c:pt idx="151">
                  <c:v>56.9</c:v>
                </c:pt>
                <c:pt idx="152">
                  <c:v>55.1</c:v>
                </c:pt>
                <c:pt idx="153">
                  <c:v>53.7</c:v>
                </c:pt>
                <c:pt idx="154">
                  <c:v>56.4</c:v>
                </c:pt>
                <c:pt idx="155">
                  <c:v>52.6</c:v>
                </c:pt>
                <c:pt idx="156">
                  <c:v>54.7</c:v>
                </c:pt>
                <c:pt idx="157">
                  <c:v>53.9</c:v>
                </c:pt>
                <c:pt idx="158">
                  <c:v>55</c:v>
                </c:pt>
                <c:pt idx="159">
                  <c:v>55.5</c:v>
                </c:pt>
                <c:pt idx="160">
                  <c:v>57.3</c:v>
                </c:pt>
                <c:pt idx="161">
                  <c:v>52.5</c:v>
                </c:pt>
                <c:pt idx="162">
                  <c:v>41.8</c:v>
                </c:pt>
                <c:pt idx="163">
                  <c:v>45.4</c:v>
                </c:pt>
                <c:pt idx="164">
                  <c:v>57.1</c:v>
                </c:pt>
                <c:pt idx="165">
                  <c:v>58.1</c:v>
                </c:pt>
                <c:pt idx="166">
                  <c:v>56.9</c:v>
                </c:pt>
                <c:pt idx="167">
                  <c:v>57.8</c:v>
                </c:pt>
                <c:pt idx="168">
                  <c:v>56.6</c:v>
                </c:pt>
                <c:pt idx="169">
                  <c:v>55.9</c:v>
                </c:pt>
                <c:pt idx="170">
                  <c:v>57.2</c:v>
                </c:pt>
                <c:pt idx="171">
                  <c:v>58.7</c:v>
                </c:pt>
                <c:pt idx="172">
                  <c:v>55.3</c:v>
                </c:pt>
                <c:pt idx="173">
                  <c:v>63.7</c:v>
                </c:pt>
                <c:pt idx="174">
                  <c:v>62.7</c:v>
                </c:pt>
                <c:pt idx="175">
                  <c:v>64</c:v>
                </c:pt>
                <c:pt idx="176">
                  <c:v>60.1</c:v>
                </c:pt>
                <c:pt idx="177">
                  <c:v>64.099999999999994</c:v>
                </c:pt>
              </c:numCache>
            </c:numRef>
          </c:val>
          <c:extLst>
            <c:ext xmlns:c16="http://schemas.microsoft.com/office/drawing/2014/chart" uri="{C3380CC4-5D6E-409C-BE32-E72D297353CC}">
              <c16:uniqueId val="{00000001-F052-439E-8F04-2CA3FC301E50}"/>
            </c:ext>
          </c:extLst>
        </c:ser>
        <c:dLbls>
          <c:showLegendKey val="0"/>
          <c:showVal val="0"/>
          <c:showCatName val="0"/>
          <c:showSerName val="0"/>
          <c:showPercent val="0"/>
          <c:showBubbleSize val="0"/>
        </c:dLbls>
        <c:gapWidth val="100"/>
        <c:overlap val="-24"/>
        <c:axId val="81791723"/>
        <c:axId val="1634385"/>
      </c:barChart>
      <c:catAx>
        <c:axId val="81791723"/>
        <c:scaling>
          <c:orientation val="minMax"/>
        </c:scaling>
        <c:delete val="0"/>
        <c:axPos val="b"/>
        <c:numFmt formatCode="General" sourceLinked="1"/>
        <c:majorTickMark val="none"/>
        <c:minorTickMark val="none"/>
        <c:tickLblPos val="nextTo"/>
        <c:spPr>
          <a:ln w="12600">
            <a:solidFill>
              <a:srgbClr val="F2F2F2">
                <a:alpha val="54000"/>
              </a:srgbClr>
            </a:solidFill>
            <a:round/>
          </a:ln>
        </c:spPr>
        <c:txPr>
          <a:bodyPr/>
          <a:lstStyle/>
          <a:p>
            <a:pPr>
              <a:defRPr sz="900" b="0" strike="noStrike" spc="-1">
                <a:solidFill>
                  <a:srgbClr val="D9D9D9"/>
                </a:solidFill>
                <a:latin typeface="Calibri"/>
              </a:defRPr>
            </a:pPr>
            <a:endParaRPr lang="bg-BG"/>
          </a:p>
        </c:txPr>
        <c:crossAx val="1634385"/>
        <c:crosses val="autoZero"/>
        <c:auto val="1"/>
        <c:lblAlgn val="ctr"/>
        <c:lblOffset val="100"/>
        <c:noMultiLvlLbl val="1"/>
      </c:catAx>
      <c:valAx>
        <c:axId val="1634385"/>
        <c:scaling>
          <c:orientation val="minMax"/>
        </c:scaling>
        <c:delete val="0"/>
        <c:axPos val="l"/>
        <c:majorGridlines>
          <c:spPr>
            <a:ln w="9360">
              <a:solidFill>
                <a:srgbClr val="F2F2F2">
                  <a:alpha val="10000"/>
                </a:srgbClr>
              </a:solidFill>
              <a:round/>
            </a:ln>
          </c:spPr>
        </c:majorGridlines>
        <c:numFmt formatCode="General" sourceLinked="0"/>
        <c:majorTickMark val="none"/>
        <c:minorTickMark val="none"/>
        <c:tickLblPos val="nextTo"/>
        <c:spPr>
          <a:ln w="6480">
            <a:noFill/>
          </a:ln>
        </c:spPr>
        <c:txPr>
          <a:bodyPr/>
          <a:lstStyle/>
          <a:p>
            <a:pPr>
              <a:defRPr sz="900" b="0" strike="noStrike" spc="-1">
                <a:solidFill>
                  <a:srgbClr val="D9D9D9"/>
                </a:solidFill>
                <a:latin typeface="Calibri"/>
              </a:defRPr>
            </a:pPr>
            <a:endParaRPr lang="bg-BG"/>
          </a:p>
        </c:txPr>
        <c:crossAx val="81791723"/>
        <c:crosses val="autoZero"/>
        <c:crossBetween val="between"/>
      </c:valAx>
      <c:spPr>
        <a:noFill/>
        <a:ln>
          <a:noFill/>
        </a:ln>
      </c:spPr>
    </c:plotArea>
    <c:plotVisOnly val="1"/>
    <c:dispBlanksAs val="gap"/>
    <c:showDLblsOverMax val="1"/>
  </c:chart>
  <c:spPr>
    <a:gradFill>
      <a:gsLst>
        <a:gs pos="0">
          <a:srgbClr val="595959"/>
        </a:gs>
        <a:gs pos="100000">
          <a:srgbClr val="262626"/>
        </a:gs>
      </a:gsLst>
      <a:path path="circle"/>
    </a:grad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600" b="1" strike="noStrike" spc="97">
                <a:solidFill>
                  <a:srgbClr val="F2F2F2"/>
                </a:solidFill>
                <a:latin typeface="Calibri"/>
              </a:defRPr>
            </a:pPr>
            <a:r>
              <a:rPr lang="en-US" sz="1600" b="1" strike="noStrike" spc="97">
                <a:solidFill>
                  <a:srgbClr val="F2F2F2"/>
                </a:solidFill>
                <a:latin typeface="Calibri"/>
              </a:rPr>
              <a:t>Management of Companies &amp; Support Services</a:t>
            </a:r>
          </a:p>
        </c:rich>
      </c:tx>
      <c:overlay val="0"/>
      <c:spPr>
        <a:noFill/>
        <a:ln>
          <a:noFill/>
        </a:ln>
      </c:spPr>
    </c:title>
    <c:autoTitleDeleted val="0"/>
    <c:plotArea>
      <c:layout/>
      <c:barChart>
        <c:barDir val="col"/>
        <c:grouping val="clustered"/>
        <c:varyColors val="0"/>
        <c:ser>
          <c:idx val="0"/>
          <c:order val="0"/>
          <c:tx>
            <c:v>Main PMI</c:v>
          </c:tx>
          <c:spPr>
            <a:gradFill>
              <a:gsLst>
                <a:gs pos="0">
                  <a:srgbClr val="71A6DA"/>
                </a:gs>
                <a:gs pos="100000">
                  <a:srgbClr val="549ADA"/>
                </a:gs>
              </a:gsLst>
              <a:lin ang="5400000"/>
            </a:gradFill>
            <a:ln>
              <a:noFill/>
            </a:ln>
          </c:spPr>
          <c:invertIfNegative val="0"/>
          <c:dLbls>
            <c:spPr>
              <a:noFill/>
              <a:ln>
                <a:noFill/>
              </a:ln>
              <a:effectLst/>
            </c:spPr>
            <c:txPr>
              <a:bodyPr/>
              <a:lstStyle/>
              <a:p>
                <a:pPr>
                  <a:defRPr sz="1000" b="0" strike="noStrike" spc="-1">
                    <a:solidFill>
                      <a:srgbClr val="000000"/>
                    </a:solidFill>
                    <a:latin typeface="Calibri"/>
                  </a:defRPr>
                </a:pPr>
                <a:endParaRPr lang="bg-BG"/>
              </a:p>
            </c:txPr>
            <c:dLblPos val="outEnd"/>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'MAIN-Analisys'!$B$2:$AA$2</c:f>
              <c:numCache>
                <c:formatCode>General</c:formatCode>
                <c:ptCount val="26"/>
                <c:pt idx="0">
                  <c:v>7</c:v>
                </c:pt>
                <c:pt idx="1">
                  <c:v>14</c:v>
                </c:pt>
                <c:pt idx="2">
                  <c:v>9</c:v>
                </c:pt>
                <c:pt idx="3">
                  <c:v>13</c:v>
                </c:pt>
                <c:pt idx="4">
                  <c:v>14</c:v>
                </c:pt>
                <c:pt idx="5">
                  <c:v>8</c:v>
                </c:pt>
                <c:pt idx="6">
                  <c:v>6</c:v>
                </c:pt>
                <c:pt idx="7">
                  <c:v>15</c:v>
                </c:pt>
                <c:pt idx="8">
                  <c:v>15</c:v>
                </c:pt>
                <c:pt idx="9">
                  <c:v>10</c:v>
                </c:pt>
                <c:pt idx="10">
                  <c:v>11</c:v>
                </c:pt>
                <c:pt idx="11">
                  <c:v>14</c:v>
                </c:pt>
                <c:pt idx="12">
                  <c:v>5</c:v>
                </c:pt>
                <c:pt idx="13">
                  <c:v>15</c:v>
                </c:pt>
                <c:pt idx="14">
                  <c:v>5</c:v>
                </c:pt>
                <c:pt idx="15">
                  <c:v>14</c:v>
                </c:pt>
                <c:pt idx="16">
                  <c:v>12</c:v>
                </c:pt>
                <c:pt idx="17">
                  <c:v>4</c:v>
                </c:pt>
                <c:pt idx="18">
                  <c:v>11</c:v>
                </c:pt>
                <c:pt idx="19">
                  <c:v>5</c:v>
                </c:pt>
              </c:numCache>
            </c:numRef>
          </c:val>
          <c:extLst>
            <c:ext xmlns:c16="http://schemas.microsoft.com/office/drawing/2014/chart" uri="{C3380CC4-5D6E-409C-BE32-E72D297353CC}">
              <c16:uniqueId val="{00000000-1915-448E-9179-EB2A0F5CD0C5}"/>
            </c:ext>
          </c:extLst>
        </c:ser>
        <c:dLbls>
          <c:showLegendKey val="0"/>
          <c:showVal val="0"/>
          <c:showCatName val="0"/>
          <c:showSerName val="0"/>
          <c:showPercent val="0"/>
          <c:showBubbleSize val="0"/>
        </c:dLbls>
        <c:gapWidth val="219"/>
        <c:overlap val="-27"/>
        <c:axId val="26350543"/>
        <c:axId val="18378302"/>
      </c:barChart>
      <c:lineChart>
        <c:grouping val="standard"/>
        <c:varyColors val="0"/>
        <c:ser>
          <c:idx val="1"/>
          <c:order val="1"/>
          <c:tx>
            <c:v>New Orders</c:v>
          </c:tx>
          <c:spPr>
            <a:ln w="34920">
              <a:solidFill>
                <a:srgbClr val="ED7D31"/>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'MAIN-Analisys'!$B$22:$AA$22</c:f>
              <c:numCache>
                <c:formatCode>General</c:formatCode>
                <c:ptCount val="26"/>
                <c:pt idx="0">
                  <c:v>6</c:v>
                </c:pt>
                <c:pt idx="1">
                  <c:v>8</c:v>
                </c:pt>
                <c:pt idx="2">
                  <c:v>11</c:v>
                </c:pt>
                <c:pt idx="3">
                  <c:v>12</c:v>
                </c:pt>
                <c:pt idx="4">
                  <c:v>10</c:v>
                </c:pt>
                <c:pt idx="5">
                  <c:v>0</c:v>
                </c:pt>
                <c:pt idx="6">
                  <c:v>5</c:v>
                </c:pt>
                <c:pt idx="7">
                  <c:v>15</c:v>
                </c:pt>
                <c:pt idx="8">
                  <c:v>15</c:v>
                </c:pt>
                <c:pt idx="9">
                  <c:v>9</c:v>
                </c:pt>
                <c:pt idx="10">
                  <c:v>15</c:v>
                </c:pt>
                <c:pt idx="11">
                  <c:v>14</c:v>
                </c:pt>
                <c:pt idx="12">
                  <c:v>0</c:v>
                </c:pt>
                <c:pt idx="13">
                  <c:v>7</c:v>
                </c:pt>
                <c:pt idx="14">
                  <c:v>10</c:v>
                </c:pt>
                <c:pt idx="15">
                  <c:v>16</c:v>
                </c:pt>
                <c:pt idx="16">
                  <c:v>9</c:v>
                </c:pt>
                <c:pt idx="17">
                  <c:v>6</c:v>
                </c:pt>
                <c:pt idx="18">
                  <c:v>11</c:v>
                </c:pt>
                <c:pt idx="19">
                  <c:v>12</c:v>
                </c:pt>
              </c:numCache>
            </c:numRef>
          </c:val>
          <c:smooth val="0"/>
          <c:extLst>
            <c:ext xmlns:c16="http://schemas.microsoft.com/office/drawing/2014/chart" uri="{C3380CC4-5D6E-409C-BE32-E72D297353CC}">
              <c16:uniqueId val="{00000001-1915-448E-9179-EB2A0F5CD0C5}"/>
            </c:ext>
          </c:extLst>
        </c:ser>
        <c:ser>
          <c:idx val="2"/>
          <c:order val="2"/>
          <c:tx>
            <c:v>Employment</c:v>
          </c:tx>
          <c:spPr>
            <a:ln w="34920">
              <a:solidFill>
                <a:srgbClr val="A5A5A5"/>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'MAIN-Analisys'!$B$42:$AA$42</c:f>
              <c:numCache>
                <c:formatCode>General</c:formatCode>
                <c:ptCount val="26"/>
                <c:pt idx="0">
                  <c:v>-3</c:v>
                </c:pt>
                <c:pt idx="1">
                  <c:v>3</c:v>
                </c:pt>
                <c:pt idx="2">
                  <c:v>0</c:v>
                </c:pt>
                <c:pt idx="3">
                  <c:v>1</c:v>
                </c:pt>
                <c:pt idx="4">
                  <c:v>4</c:v>
                </c:pt>
                <c:pt idx="5">
                  <c:v>8</c:v>
                </c:pt>
                <c:pt idx="6">
                  <c:v>9</c:v>
                </c:pt>
                <c:pt idx="7">
                  <c:v>9</c:v>
                </c:pt>
                <c:pt idx="8">
                  <c:v>3</c:v>
                </c:pt>
                <c:pt idx="9">
                  <c:v>0</c:v>
                </c:pt>
                <c:pt idx="10">
                  <c:v>0</c:v>
                </c:pt>
                <c:pt idx="11">
                  <c:v>5</c:v>
                </c:pt>
                <c:pt idx="12">
                  <c:v>0</c:v>
                </c:pt>
                <c:pt idx="13">
                  <c:v>9</c:v>
                </c:pt>
                <c:pt idx="14">
                  <c:v>-4</c:v>
                </c:pt>
                <c:pt idx="15">
                  <c:v>-4</c:v>
                </c:pt>
                <c:pt idx="16">
                  <c:v>0</c:v>
                </c:pt>
                <c:pt idx="17">
                  <c:v>-8</c:v>
                </c:pt>
                <c:pt idx="18">
                  <c:v>0</c:v>
                </c:pt>
                <c:pt idx="19">
                  <c:v>-4</c:v>
                </c:pt>
              </c:numCache>
            </c:numRef>
          </c:val>
          <c:smooth val="0"/>
          <c:extLst>
            <c:ext xmlns:c16="http://schemas.microsoft.com/office/drawing/2014/chart" uri="{C3380CC4-5D6E-409C-BE32-E72D297353CC}">
              <c16:uniqueId val="{00000002-1915-448E-9179-EB2A0F5CD0C5}"/>
            </c:ext>
          </c:extLst>
        </c:ser>
        <c:ser>
          <c:idx val="3"/>
          <c:order val="3"/>
          <c:tx>
            <c:v>Deliveries</c:v>
          </c:tx>
          <c:spPr>
            <a:ln w="34920">
              <a:solidFill>
                <a:srgbClr val="FFC000"/>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'MAIN-Analisys'!$B$62:$AA$62</c:f>
              <c:numCache>
                <c:formatCode>General</c:formatCode>
                <c:ptCount val="26"/>
                <c:pt idx="0">
                  <c:v>-5</c:v>
                </c:pt>
                <c:pt idx="1">
                  <c:v>-12</c:v>
                </c:pt>
                <c:pt idx="2">
                  <c:v>0</c:v>
                </c:pt>
                <c:pt idx="3">
                  <c:v>-10</c:v>
                </c:pt>
                <c:pt idx="4">
                  <c:v>-14</c:v>
                </c:pt>
                <c:pt idx="5">
                  <c:v>-3</c:v>
                </c:pt>
                <c:pt idx="6">
                  <c:v>2</c:v>
                </c:pt>
                <c:pt idx="7">
                  <c:v>-7</c:v>
                </c:pt>
                <c:pt idx="8">
                  <c:v>-17</c:v>
                </c:pt>
                <c:pt idx="9">
                  <c:v>-16</c:v>
                </c:pt>
                <c:pt idx="10">
                  <c:v>-6</c:v>
                </c:pt>
                <c:pt idx="11">
                  <c:v>-6</c:v>
                </c:pt>
                <c:pt idx="12">
                  <c:v>13</c:v>
                </c:pt>
                <c:pt idx="13">
                  <c:v>-17</c:v>
                </c:pt>
                <c:pt idx="14">
                  <c:v>-9</c:v>
                </c:pt>
                <c:pt idx="15">
                  <c:v>-10</c:v>
                </c:pt>
                <c:pt idx="16">
                  <c:v>-14</c:v>
                </c:pt>
                <c:pt idx="17">
                  <c:v>-5</c:v>
                </c:pt>
                <c:pt idx="18">
                  <c:v>-3</c:v>
                </c:pt>
                <c:pt idx="19">
                  <c:v>-5</c:v>
                </c:pt>
              </c:numCache>
            </c:numRef>
          </c:val>
          <c:smooth val="0"/>
          <c:extLst>
            <c:ext xmlns:c16="http://schemas.microsoft.com/office/drawing/2014/chart" uri="{C3380CC4-5D6E-409C-BE32-E72D297353CC}">
              <c16:uniqueId val="{00000003-1915-448E-9179-EB2A0F5CD0C5}"/>
            </c:ext>
          </c:extLst>
        </c:ser>
        <c:ser>
          <c:idx val="4"/>
          <c:order val="4"/>
          <c:tx>
            <c:v>Inventory</c:v>
          </c:tx>
          <c:spPr>
            <a:ln w="34920">
              <a:solidFill>
                <a:srgbClr val="4472C4"/>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'MAIN-Analisys'!$B$82:$AA$82</c:f>
              <c:numCache>
                <c:formatCode>General</c:formatCode>
                <c:ptCount val="26"/>
                <c:pt idx="0">
                  <c:v>0</c:v>
                </c:pt>
                <c:pt idx="1">
                  <c:v>0</c:v>
                </c:pt>
                <c:pt idx="2">
                  <c:v>0</c:v>
                </c:pt>
                <c:pt idx="3">
                  <c:v>0</c:v>
                </c:pt>
                <c:pt idx="4">
                  <c:v>0</c:v>
                </c:pt>
                <c:pt idx="5">
                  <c:v>0</c:v>
                </c:pt>
                <c:pt idx="6">
                  <c:v>4</c:v>
                </c:pt>
                <c:pt idx="7">
                  <c:v>2</c:v>
                </c:pt>
                <c:pt idx="8">
                  <c:v>4</c:v>
                </c:pt>
                <c:pt idx="9">
                  <c:v>6</c:v>
                </c:pt>
                <c:pt idx="10">
                  <c:v>-4</c:v>
                </c:pt>
                <c:pt idx="11">
                  <c:v>0</c:v>
                </c:pt>
                <c:pt idx="12">
                  <c:v>-7</c:v>
                </c:pt>
                <c:pt idx="13">
                  <c:v>0</c:v>
                </c:pt>
                <c:pt idx="14">
                  <c:v>0</c:v>
                </c:pt>
                <c:pt idx="15">
                  <c:v>0</c:v>
                </c:pt>
                <c:pt idx="16">
                  <c:v>3</c:v>
                </c:pt>
                <c:pt idx="17">
                  <c:v>0</c:v>
                </c:pt>
                <c:pt idx="18">
                  <c:v>9</c:v>
                </c:pt>
                <c:pt idx="19">
                  <c:v>0</c:v>
                </c:pt>
              </c:numCache>
            </c:numRef>
          </c:val>
          <c:smooth val="0"/>
          <c:extLst>
            <c:ext xmlns:c16="http://schemas.microsoft.com/office/drawing/2014/chart" uri="{C3380CC4-5D6E-409C-BE32-E72D297353CC}">
              <c16:uniqueId val="{00000004-1915-448E-9179-EB2A0F5CD0C5}"/>
            </c:ext>
          </c:extLst>
        </c:ser>
        <c:ser>
          <c:idx val="5"/>
          <c:order val="5"/>
          <c:tx>
            <c:v>Prices</c:v>
          </c:tx>
          <c:spPr>
            <a:ln w="34920">
              <a:solidFill>
                <a:srgbClr val="70AD47"/>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'MAIN-Analisys'!$B$102:$AA$102</c:f>
              <c:numCache>
                <c:formatCode>General</c:formatCode>
                <c:ptCount val="26"/>
                <c:pt idx="0">
                  <c:v>7</c:v>
                </c:pt>
                <c:pt idx="1">
                  <c:v>6</c:v>
                </c:pt>
                <c:pt idx="2">
                  <c:v>7</c:v>
                </c:pt>
                <c:pt idx="3">
                  <c:v>11</c:v>
                </c:pt>
                <c:pt idx="4">
                  <c:v>6</c:v>
                </c:pt>
                <c:pt idx="5">
                  <c:v>4</c:v>
                </c:pt>
                <c:pt idx="6">
                  <c:v>1</c:v>
                </c:pt>
                <c:pt idx="7">
                  <c:v>13</c:v>
                </c:pt>
                <c:pt idx="8">
                  <c:v>16</c:v>
                </c:pt>
                <c:pt idx="9">
                  <c:v>11</c:v>
                </c:pt>
                <c:pt idx="10">
                  <c:v>7</c:v>
                </c:pt>
                <c:pt idx="11">
                  <c:v>6</c:v>
                </c:pt>
                <c:pt idx="12">
                  <c:v>17</c:v>
                </c:pt>
                <c:pt idx="13">
                  <c:v>18</c:v>
                </c:pt>
                <c:pt idx="14">
                  <c:v>16</c:v>
                </c:pt>
                <c:pt idx="15">
                  <c:v>14</c:v>
                </c:pt>
                <c:pt idx="16">
                  <c:v>16</c:v>
                </c:pt>
                <c:pt idx="17">
                  <c:v>15</c:v>
                </c:pt>
                <c:pt idx="18">
                  <c:v>16</c:v>
                </c:pt>
                <c:pt idx="19">
                  <c:v>17</c:v>
                </c:pt>
              </c:numCache>
            </c:numRef>
          </c:val>
          <c:smooth val="0"/>
          <c:extLst>
            <c:ext xmlns:c16="http://schemas.microsoft.com/office/drawing/2014/chart" uri="{C3380CC4-5D6E-409C-BE32-E72D297353CC}">
              <c16:uniqueId val="{00000005-1915-448E-9179-EB2A0F5CD0C5}"/>
            </c:ext>
          </c:extLst>
        </c:ser>
        <c:ser>
          <c:idx val="6"/>
          <c:order val="6"/>
          <c:tx>
            <c:v>Business Activity</c:v>
          </c:tx>
          <c:spPr>
            <a:ln>
              <a:solidFill>
                <a:schemeClr val="bg1"/>
              </a:solidFill>
            </a:ln>
          </c:spPr>
          <c:marker>
            <c:symbol val="none"/>
          </c:marker>
          <c:val>
            <c:numRef>
              <c:f>'MAIN-Analisys'!$B$122:$U$122</c:f>
              <c:numCache>
                <c:formatCode>General</c:formatCode>
                <c:ptCount val="20"/>
                <c:pt idx="0">
                  <c:v>11</c:v>
                </c:pt>
                <c:pt idx="1">
                  <c:v>12</c:v>
                </c:pt>
                <c:pt idx="2">
                  <c:v>9</c:v>
                </c:pt>
                <c:pt idx="3">
                  <c:v>13</c:v>
                </c:pt>
                <c:pt idx="4">
                  <c:v>11</c:v>
                </c:pt>
                <c:pt idx="5">
                  <c:v>0</c:v>
                </c:pt>
                <c:pt idx="6">
                  <c:v>7</c:v>
                </c:pt>
                <c:pt idx="7">
                  <c:v>15</c:v>
                </c:pt>
                <c:pt idx="8">
                  <c:v>15</c:v>
                </c:pt>
                <c:pt idx="9">
                  <c:v>7</c:v>
                </c:pt>
                <c:pt idx="10">
                  <c:v>14</c:v>
                </c:pt>
                <c:pt idx="11">
                  <c:v>16</c:v>
                </c:pt>
                <c:pt idx="12">
                  <c:v>0</c:v>
                </c:pt>
                <c:pt idx="13">
                  <c:v>12</c:v>
                </c:pt>
                <c:pt idx="14">
                  <c:v>6</c:v>
                </c:pt>
                <c:pt idx="15">
                  <c:v>16</c:v>
                </c:pt>
                <c:pt idx="16">
                  <c:v>10</c:v>
                </c:pt>
                <c:pt idx="17">
                  <c:v>1</c:v>
                </c:pt>
                <c:pt idx="18">
                  <c:v>13</c:v>
                </c:pt>
                <c:pt idx="19">
                  <c:v>2</c:v>
                </c:pt>
              </c:numCache>
            </c:numRef>
          </c:val>
          <c:smooth val="0"/>
          <c:extLst>
            <c:ext xmlns:c16="http://schemas.microsoft.com/office/drawing/2014/chart" uri="{C3380CC4-5D6E-409C-BE32-E72D297353CC}">
              <c16:uniqueId val="{00000001-C0C5-4654-8745-2BC60DC3AD45}"/>
            </c:ext>
          </c:extLst>
        </c:ser>
        <c:dLbls>
          <c:showLegendKey val="0"/>
          <c:showVal val="0"/>
          <c:showCatName val="0"/>
          <c:showSerName val="0"/>
          <c:showPercent val="0"/>
          <c:showBubbleSize val="0"/>
        </c:dLbls>
        <c:hiLowLines>
          <c:spPr>
            <a:ln>
              <a:noFill/>
            </a:ln>
          </c:spPr>
        </c:hiLowLines>
        <c:marker val="1"/>
        <c:smooth val="0"/>
        <c:axId val="26350543"/>
        <c:axId val="18378302"/>
      </c:lineChart>
      <c:catAx>
        <c:axId val="26350543"/>
        <c:scaling>
          <c:orientation val="minMax"/>
        </c:scaling>
        <c:delete val="0"/>
        <c:axPos val="b"/>
        <c:numFmt formatCode="General" sourceLinked="1"/>
        <c:majorTickMark val="none"/>
        <c:minorTickMark val="none"/>
        <c:tickLblPos val="nextTo"/>
        <c:spPr>
          <a:ln w="12600">
            <a:solidFill>
              <a:srgbClr val="F2F2F2">
                <a:alpha val="54000"/>
              </a:srgbClr>
            </a:solidFill>
            <a:round/>
          </a:ln>
        </c:spPr>
        <c:txPr>
          <a:bodyPr/>
          <a:lstStyle/>
          <a:p>
            <a:pPr>
              <a:defRPr sz="900" b="0" strike="noStrike" spc="-1">
                <a:solidFill>
                  <a:srgbClr val="D9D9D9"/>
                </a:solidFill>
                <a:latin typeface="Calibri"/>
              </a:defRPr>
            </a:pPr>
            <a:endParaRPr lang="bg-BG"/>
          </a:p>
        </c:txPr>
        <c:crossAx val="18378302"/>
        <c:crosses val="autoZero"/>
        <c:auto val="1"/>
        <c:lblAlgn val="ctr"/>
        <c:lblOffset val="100"/>
        <c:noMultiLvlLbl val="1"/>
      </c:catAx>
      <c:valAx>
        <c:axId val="18378302"/>
        <c:scaling>
          <c:orientation val="minMax"/>
        </c:scaling>
        <c:delete val="0"/>
        <c:axPos val="l"/>
        <c:majorGridlines>
          <c:spPr>
            <a:ln w="9360">
              <a:solidFill>
                <a:srgbClr val="F2F2F2">
                  <a:alpha val="10000"/>
                </a:srgbClr>
              </a:solidFill>
              <a:round/>
            </a:ln>
          </c:spPr>
        </c:majorGridlines>
        <c:numFmt formatCode="General" sourceLinked="0"/>
        <c:majorTickMark val="none"/>
        <c:minorTickMark val="none"/>
        <c:tickLblPos val="nextTo"/>
        <c:spPr>
          <a:ln w="6480">
            <a:noFill/>
          </a:ln>
        </c:spPr>
        <c:txPr>
          <a:bodyPr/>
          <a:lstStyle/>
          <a:p>
            <a:pPr>
              <a:defRPr sz="900" b="0" strike="noStrike" spc="-1">
                <a:solidFill>
                  <a:srgbClr val="D9D9D9"/>
                </a:solidFill>
                <a:latin typeface="Calibri"/>
              </a:defRPr>
            </a:pPr>
            <a:endParaRPr lang="bg-BG"/>
          </a:p>
        </c:txPr>
        <c:crossAx val="26350543"/>
        <c:crosses val="autoZero"/>
        <c:crossBetween val="between"/>
      </c:valAx>
      <c:spPr>
        <a:noFill/>
        <a:ln>
          <a:noFill/>
        </a:ln>
      </c:spPr>
    </c:plotArea>
    <c:legend>
      <c:legendPos val="b"/>
      <c:overlay val="0"/>
      <c:spPr>
        <a:noFill/>
        <a:ln>
          <a:noFill/>
        </a:ln>
      </c:spPr>
      <c:txPr>
        <a:bodyPr/>
        <a:lstStyle/>
        <a:p>
          <a:pPr>
            <a:defRPr sz="900" b="0" strike="noStrike" spc="-1">
              <a:solidFill>
                <a:srgbClr val="D9D9D9"/>
              </a:solidFill>
              <a:latin typeface="Calibri"/>
            </a:defRPr>
          </a:pPr>
          <a:endParaRPr lang="bg-BG"/>
        </a:p>
      </c:txPr>
    </c:legend>
    <c:plotVisOnly val="1"/>
    <c:dispBlanksAs val="gap"/>
    <c:showDLblsOverMax val="1"/>
  </c:chart>
  <c:spPr>
    <a:gradFill>
      <a:gsLst>
        <a:gs pos="0">
          <a:srgbClr val="595959"/>
        </a:gs>
        <a:gs pos="100000">
          <a:srgbClr val="262626"/>
        </a:gs>
      </a:gsLst>
      <a:path path="circle"/>
    </a:gradFill>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600" b="1" strike="noStrike" spc="97">
                <a:solidFill>
                  <a:srgbClr val="F2F2F2"/>
                </a:solidFill>
                <a:latin typeface="Calibri"/>
              </a:defRPr>
            </a:pPr>
            <a:r>
              <a:rPr lang="en-US" sz="1600" b="1" strike="noStrike" spc="97">
                <a:solidFill>
                  <a:srgbClr val="F2F2F2"/>
                </a:solidFill>
                <a:latin typeface="Calibri"/>
              </a:rPr>
              <a:t>Wholesale Trade</a:t>
            </a:r>
          </a:p>
        </c:rich>
      </c:tx>
      <c:overlay val="0"/>
      <c:spPr>
        <a:noFill/>
        <a:ln>
          <a:noFill/>
        </a:ln>
      </c:spPr>
    </c:title>
    <c:autoTitleDeleted val="0"/>
    <c:plotArea>
      <c:layout/>
      <c:barChart>
        <c:barDir val="col"/>
        <c:grouping val="clustered"/>
        <c:varyColors val="0"/>
        <c:ser>
          <c:idx val="0"/>
          <c:order val="0"/>
          <c:tx>
            <c:v>Main PMI</c:v>
          </c:tx>
          <c:spPr>
            <a:gradFill>
              <a:gsLst>
                <a:gs pos="0">
                  <a:srgbClr val="71A6DA"/>
                </a:gs>
                <a:gs pos="100000">
                  <a:srgbClr val="549ADA"/>
                </a:gs>
              </a:gsLst>
              <a:lin ang="5400000"/>
            </a:gradFill>
            <a:ln>
              <a:noFill/>
            </a:ln>
          </c:spPr>
          <c:invertIfNegative val="0"/>
          <c:dLbls>
            <c:spPr>
              <a:noFill/>
              <a:ln>
                <a:noFill/>
              </a:ln>
              <a:effectLst/>
            </c:spPr>
            <c:txPr>
              <a:bodyPr/>
              <a:lstStyle/>
              <a:p>
                <a:pPr>
                  <a:defRPr sz="1000" b="0" strike="noStrike" spc="-1">
                    <a:solidFill>
                      <a:srgbClr val="000000"/>
                    </a:solidFill>
                    <a:latin typeface="Calibri"/>
                  </a:defRPr>
                </a:pPr>
                <a:endParaRPr lang="bg-BG"/>
              </a:p>
            </c:txPr>
            <c:dLblPos val="outEnd"/>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'MAIN-Analisys'!$B$3:$AA$3</c:f>
              <c:numCache>
                <c:formatCode>General</c:formatCode>
                <c:ptCount val="26"/>
                <c:pt idx="0">
                  <c:v>10</c:v>
                </c:pt>
                <c:pt idx="1">
                  <c:v>11</c:v>
                </c:pt>
                <c:pt idx="2">
                  <c:v>8</c:v>
                </c:pt>
                <c:pt idx="3">
                  <c:v>7</c:v>
                </c:pt>
                <c:pt idx="4">
                  <c:v>13</c:v>
                </c:pt>
                <c:pt idx="5">
                  <c:v>12</c:v>
                </c:pt>
                <c:pt idx="6">
                  <c:v>16</c:v>
                </c:pt>
                <c:pt idx="7">
                  <c:v>17</c:v>
                </c:pt>
                <c:pt idx="8">
                  <c:v>16</c:v>
                </c:pt>
                <c:pt idx="9">
                  <c:v>17</c:v>
                </c:pt>
                <c:pt idx="10">
                  <c:v>13</c:v>
                </c:pt>
                <c:pt idx="11">
                  <c:v>16</c:v>
                </c:pt>
                <c:pt idx="12">
                  <c:v>6</c:v>
                </c:pt>
                <c:pt idx="13">
                  <c:v>2</c:v>
                </c:pt>
                <c:pt idx="14">
                  <c:v>9</c:v>
                </c:pt>
                <c:pt idx="15">
                  <c:v>12</c:v>
                </c:pt>
                <c:pt idx="16">
                  <c:v>15</c:v>
                </c:pt>
                <c:pt idx="17">
                  <c:v>2</c:v>
                </c:pt>
                <c:pt idx="18">
                  <c:v>10</c:v>
                </c:pt>
                <c:pt idx="19">
                  <c:v>13</c:v>
                </c:pt>
              </c:numCache>
            </c:numRef>
          </c:val>
          <c:extLst>
            <c:ext xmlns:c16="http://schemas.microsoft.com/office/drawing/2014/chart" uri="{C3380CC4-5D6E-409C-BE32-E72D297353CC}">
              <c16:uniqueId val="{00000000-EDDF-41E4-9938-91921C49CA2B}"/>
            </c:ext>
          </c:extLst>
        </c:ser>
        <c:dLbls>
          <c:showLegendKey val="0"/>
          <c:showVal val="0"/>
          <c:showCatName val="0"/>
          <c:showSerName val="0"/>
          <c:showPercent val="0"/>
          <c:showBubbleSize val="0"/>
        </c:dLbls>
        <c:gapWidth val="219"/>
        <c:overlap val="-27"/>
        <c:axId val="56410061"/>
        <c:axId val="35286544"/>
      </c:barChart>
      <c:lineChart>
        <c:grouping val="standard"/>
        <c:varyColors val="0"/>
        <c:ser>
          <c:idx val="1"/>
          <c:order val="1"/>
          <c:tx>
            <c:v>New Orders</c:v>
          </c:tx>
          <c:spPr>
            <a:ln w="34920">
              <a:solidFill>
                <a:srgbClr val="ED7D31"/>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'MAIN-Analisys'!$B$23:$AA$23</c:f>
              <c:numCache>
                <c:formatCode>General</c:formatCode>
                <c:ptCount val="26"/>
                <c:pt idx="0">
                  <c:v>5</c:v>
                </c:pt>
                <c:pt idx="1">
                  <c:v>10</c:v>
                </c:pt>
                <c:pt idx="2">
                  <c:v>3</c:v>
                </c:pt>
                <c:pt idx="3">
                  <c:v>2</c:v>
                </c:pt>
                <c:pt idx="4">
                  <c:v>6</c:v>
                </c:pt>
                <c:pt idx="5">
                  <c:v>5</c:v>
                </c:pt>
                <c:pt idx="6">
                  <c:v>11</c:v>
                </c:pt>
                <c:pt idx="7">
                  <c:v>14</c:v>
                </c:pt>
                <c:pt idx="8">
                  <c:v>16</c:v>
                </c:pt>
                <c:pt idx="9">
                  <c:v>17</c:v>
                </c:pt>
                <c:pt idx="10">
                  <c:v>12</c:v>
                </c:pt>
                <c:pt idx="11">
                  <c:v>15</c:v>
                </c:pt>
                <c:pt idx="12">
                  <c:v>-1</c:v>
                </c:pt>
                <c:pt idx="13">
                  <c:v>1</c:v>
                </c:pt>
                <c:pt idx="14">
                  <c:v>6</c:v>
                </c:pt>
                <c:pt idx="15">
                  <c:v>14</c:v>
                </c:pt>
                <c:pt idx="16">
                  <c:v>11</c:v>
                </c:pt>
                <c:pt idx="17">
                  <c:v>-1</c:v>
                </c:pt>
                <c:pt idx="18">
                  <c:v>3</c:v>
                </c:pt>
                <c:pt idx="19">
                  <c:v>13</c:v>
                </c:pt>
              </c:numCache>
            </c:numRef>
          </c:val>
          <c:smooth val="0"/>
          <c:extLst>
            <c:ext xmlns:c16="http://schemas.microsoft.com/office/drawing/2014/chart" uri="{C3380CC4-5D6E-409C-BE32-E72D297353CC}">
              <c16:uniqueId val="{00000001-EDDF-41E4-9938-91921C49CA2B}"/>
            </c:ext>
          </c:extLst>
        </c:ser>
        <c:ser>
          <c:idx val="2"/>
          <c:order val="2"/>
          <c:tx>
            <c:v>Employment</c:v>
          </c:tx>
          <c:spPr>
            <a:ln w="34920">
              <a:solidFill>
                <a:srgbClr val="A5A5A5"/>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'MAIN-Analisys'!$B$43:$AA$43</c:f>
              <c:numCache>
                <c:formatCode>General</c:formatCode>
                <c:ptCount val="26"/>
                <c:pt idx="0">
                  <c:v>5</c:v>
                </c:pt>
                <c:pt idx="1">
                  <c:v>5</c:v>
                </c:pt>
                <c:pt idx="2">
                  <c:v>3</c:v>
                </c:pt>
                <c:pt idx="3">
                  <c:v>4</c:v>
                </c:pt>
                <c:pt idx="4">
                  <c:v>3</c:v>
                </c:pt>
                <c:pt idx="5">
                  <c:v>1</c:v>
                </c:pt>
                <c:pt idx="6">
                  <c:v>-2</c:v>
                </c:pt>
                <c:pt idx="7">
                  <c:v>8</c:v>
                </c:pt>
                <c:pt idx="8">
                  <c:v>9</c:v>
                </c:pt>
                <c:pt idx="9">
                  <c:v>5</c:v>
                </c:pt>
                <c:pt idx="10">
                  <c:v>4</c:v>
                </c:pt>
                <c:pt idx="11">
                  <c:v>7</c:v>
                </c:pt>
                <c:pt idx="12">
                  <c:v>3</c:v>
                </c:pt>
                <c:pt idx="13">
                  <c:v>1</c:v>
                </c:pt>
                <c:pt idx="14">
                  <c:v>7</c:v>
                </c:pt>
                <c:pt idx="15">
                  <c:v>5</c:v>
                </c:pt>
                <c:pt idx="16">
                  <c:v>6</c:v>
                </c:pt>
                <c:pt idx="17">
                  <c:v>1</c:v>
                </c:pt>
                <c:pt idx="18">
                  <c:v>4</c:v>
                </c:pt>
                <c:pt idx="19">
                  <c:v>7</c:v>
                </c:pt>
              </c:numCache>
            </c:numRef>
          </c:val>
          <c:smooth val="0"/>
          <c:extLst>
            <c:ext xmlns:c16="http://schemas.microsoft.com/office/drawing/2014/chart" uri="{C3380CC4-5D6E-409C-BE32-E72D297353CC}">
              <c16:uniqueId val="{00000002-EDDF-41E4-9938-91921C49CA2B}"/>
            </c:ext>
          </c:extLst>
        </c:ser>
        <c:ser>
          <c:idx val="3"/>
          <c:order val="3"/>
          <c:tx>
            <c:v>Deliveries</c:v>
          </c:tx>
          <c:spPr>
            <a:ln w="34920">
              <a:solidFill>
                <a:srgbClr val="FFC000"/>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'MAIN-Analisys'!$B$63:$AA$63</c:f>
              <c:numCache>
                <c:formatCode>General</c:formatCode>
                <c:ptCount val="26"/>
                <c:pt idx="0">
                  <c:v>-4</c:v>
                </c:pt>
                <c:pt idx="1">
                  <c:v>-4</c:v>
                </c:pt>
                <c:pt idx="2">
                  <c:v>-8</c:v>
                </c:pt>
                <c:pt idx="3">
                  <c:v>-12</c:v>
                </c:pt>
                <c:pt idx="4">
                  <c:v>-17</c:v>
                </c:pt>
                <c:pt idx="5">
                  <c:v>-12</c:v>
                </c:pt>
                <c:pt idx="6">
                  <c:v>-10</c:v>
                </c:pt>
                <c:pt idx="7">
                  <c:v>-14</c:v>
                </c:pt>
                <c:pt idx="8">
                  <c:v>-15</c:v>
                </c:pt>
                <c:pt idx="9">
                  <c:v>-15</c:v>
                </c:pt>
                <c:pt idx="10">
                  <c:v>-16</c:v>
                </c:pt>
                <c:pt idx="11">
                  <c:v>-14</c:v>
                </c:pt>
                <c:pt idx="12">
                  <c:v>7</c:v>
                </c:pt>
                <c:pt idx="13">
                  <c:v>-10</c:v>
                </c:pt>
                <c:pt idx="14">
                  <c:v>-6</c:v>
                </c:pt>
                <c:pt idx="15">
                  <c:v>-5</c:v>
                </c:pt>
                <c:pt idx="16">
                  <c:v>-9</c:v>
                </c:pt>
                <c:pt idx="17">
                  <c:v>-6</c:v>
                </c:pt>
                <c:pt idx="18">
                  <c:v>-5</c:v>
                </c:pt>
                <c:pt idx="19">
                  <c:v>-3</c:v>
                </c:pt>
              </c:numCache>
            </c:numRef>
          </c:val>
          <c:smooth val="0"/>
          <c:extLst>
            <c:ext xmlns:c16="http://schemas.microsoft.com/office/drawing/2014/chart" uri="{C3380CC4-5D6E-409C-BE32-E72D297353CC}">
              <c16:uniqueId val="{00000003-EDDF-41E4-9938-91921C49CA2B}"/>
            </c:ext>
          </c:extLst>
        </c:ser>
        <c:ser>
          <c:idx val="4"/>
          <c:order val="4"/>
          <c:tx>
            <c:v>Inventory</c:v>
          </c:tx>
          <c:spPr>
            <a:ln w="34920">
              <a:solidFill>
                <a:srgbClr val="4472C4"/>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'MAIN-Analisys'!$B$83:$AA$83</c:f>
              <c:numCache>
                <c:formatCode>General</c:formatCode>
                <c:ptCount val="26"/>
                <c:pt idx="0">
                  <c:v>-2</c:v>
                </c:pt>
                <c:pt idx="1">
                  <c:v>3</c:v>
                </c:pt>
                <c:pt idx="2">
                  <c:v>4</c:v>
                </c:pt>
                <c:pt idx="3">
                  <c:v>3</c:v>
                </c:pt>
                <c:pt idx="4">
                  <c:v>4</c:v>
                </c:pt>
                <c:pt idx="5">
                  <c:v>0</c:v>
                </c:pt>
                <c:pt idx="6">
                  <c:v>1</c:v>
                </c:pt>
                <c:pt idx="7">
                  <c:v>5</c:v>
                </c:pt>
                <c:pt idx="8">
                  <c:v>3</c:v>
                </c:pt>
                <c:pt idx="9">
                  <c:v>5</c:v>
                </c:pt>
                <c:pt idx="10">
                  <c:v>4</c:v>
                </c:pt>
                <c:pt idx="11">
                  <c:v>3</c:v>
                </c:pt>
                <c:pt idx="12">
                  <c:v>2</c:v>
                </c:pt>
                <c:pt idx="13">
                  <c:v>2</c:v>
                </c:pt>
                <c:pt idx="14">
                  <c:v>0</c:v>
                </c:pt>
                <c:pt idx="15">
                  <c:v>-1</c:v>
                </c:pt>
                <c:pt idx="16">
                  <c:v>1</c:v>
                </c:pt>
                <c:pt idx="17">
                  <c:v>6</c:v>
                </c:pt>
                <c:pt idx="18">
                  <c:v>6</c:v>
                </c:pt>
                <c:pt idx="19">
                  <c:v>2</c:v>
                </c:pt>
              </c:numCache>
            </c:numRef>
          </c:val>
          <c:smooth val="0"/>
          <c:extLst>
            <c:ext xmlns:c16="http://schemas.microsoft.com/office/drawing/2014/chart" uri="{C3380CC4-5D6E-409C-BE32-E72D297353CC}">
              <c16:uniqueId val="{00000004-EDDF-41E4-9938-91921C49CA2B}"/>
            </c:ext>
          </c:extLst>
        </c:ser>
        <c:ser>
          <c:idx val="5"/>
          <c:order val="5"/>
          <c:tx>
            <c:v>Prices</c:v>
          </c:tx>
          <c:spPr>
            <a:ln w="34920">
              <a:solidFill>
                <a:srgbClr val="70AD47"/>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'MAIN-Analisys'!$B$103:$AA$103</c:f>
              <c:numCache>
                <c:formatCode>General</c:formatCode>
                <c:ptCount val="26"/>
                <c:pt idx="0">
                  <c:v>12</c:v>
                </c:pt>
                <c:pt idx="1">
                  <c:v>11</c:v>
                </c:pt>
                <c:pt idx="2">
                  <c:v>11</c:v>
                </c:pt>
                <c:pt idx="3">
                  <c:v>12</c:v>
                </c:pt>
                <c:pt idx="4">
                  <c:v>10</c:v>
                </c:pt>
                <c:pt idx="5">
                  <c:v>16</c:v>
                </c:pt>
                <c:pt idx="6">
                  <c:v>14</c:v>
                </c:pt>
                <c:pt idx="7">
                  <c:v>17</c:v>
                </c:pt>
                <c:pt idx="8">
                  <c:v>12</c:v>
                </c:pt>
                <c:pt idx="9">
                  <c:v>17</c:v>
                </c:pt>
                <c:pt idx="10">
                  <c:v>13</c:v>
                </c:pt>
                <c:pt idx="11">
                  <c:v>13</c:v>
                </c:pt>
                <c:pt idx="12">
                  <c:v>16</c:v>
                </c:pt>
                <c:pt idx="13">
                  <c:v>14</c:v>
                </c:pt>
                <c:pt idx="14">
                  <c:v>15</c:v>
                </c:pt>
                <c:pt idx="15">
                  <c:v>9</c:v>
                </c:pt>
                <c:pt idx="16">
                  <c:v>14</c:v>
                </c:pt>
                <c:pt idx="17">
                  <c:v>11</c:v>
                </c:pt>
                <c:pt idx="18">
                  <c:v>17</c:v>
                </c:pt>
                <c:pt idx="19">
                  <c:v>10</c:v>
                </c:pt>
              </c:numCache>
            </c:numRef>
          </c:val>
          <c:smooth val="0"/>
          <c:extLst>
            <c:ext xmlns:c16="http://schemas.microsoft.com/office/drawing/2014/chart" uri="{C3380CC4-5D6E-409C-BE32-E72D297353CC}">
              <c16:uniqueId val="{00000005-EDDF-41E4-9938-91921C49CA2B}"/>
            </c:ext>
          </c:extLst>
        </c:ser>
        <c:ser>
          <c:idx val="6"/>
          <c:order val="6"/>
          <c:tx>
            <c:v>Bisiness Activity</c:v>
          </c:tx>
          <c:spPr>
            <a:ln>
              <a:solidFill>
                <a:schemeClr val="bg1"/>
              </a:solidFill>
            </a:ln>
          </c:spPr>
          <c:marker>
            <c:symbol val="none"/>
          </c:marker>
          <c:val>
            <c:numRef>
              <c:f>'MAIN-Analisys'!$B$123:$U$123</c:f>
              <c:numCache>
                <c:formatCode>General</c:formatCode>
                <c:ptCount val="20"/>
                <c:pt idx="0">
                  <c:v>8</c:v>
                </c:pt>
                <c:pt idx="1">
                  <c:v>10</c:v>
                </c:pt>
                <c:pt idx="2">
                  <c:v>3</c:v>
                </c:pt>
                <c:pt idx="3">
                  <c:v>4</c:v>
                </c:pt>
                <c:pt idx="4">
                  <c:v>4</c:v>
                </c:pt>
                <c:pt idx="5">
                  <c:v>7</c:v>
                </c:pt>
                <c:pt idx="6">
                  <c:v>12</c:v>
                </c:pt>
                <c:pt idx="7">
                  <c:v>13</c:v>
                </c:pt>
                <c:pt idx="8">
                  <c:v>16</c:v>
                </c:pt>
                <c:pt idx="9">
                  <c:v>16</c:v>
                </c:pt>
                <c:pt idx="10">
                  <c:v>12</c:v>
                </c:pt>
                <c:pt idx="11">
                  <c:v>15</c:v>
                </c:pt>
                <c:pt idx="12">
                  <c:v>2</c:v>
                </c:pt>
                <c:pt idx="13">
                  <c:v>7</c:v>
                </c:pt>
                <c:pt idx="14">
                  <c:v>8</c:v>
                </c:pt>
                <c:pt idx="15">
                  <c:v>12</c:v>
                </c:pt>
                <c:pt idx="16">
                  <c:v>12</c:v>
                </c:pt>
                <c:pt idx="17">
                  <c:v>0</c:v>
                </c:pt>
                <c:pt idx="18">
                  <c:v>9</c:v>
                </c:pt>
                <c:pt idx="19">
                  <c:v>11</c:v>
                </c:pt>
              </c:numCache>
            </c:numRef>
          </c:val>
          <c:smooth val="0"/>
          <c:extLst>
            <c:ext xmlns:c16="http://schemas.microsoft.com/office/drawing/2014/chart" uri="{C3380CC4-5D6E-409C-BE32-E72D297353CC}">
              <c16:uniqueId val="{00000001-E5AF-4943-98EE-0E5A52F8D8C5}"/>
            </c:ext>
          </c:extLst>
        </c:ser>
        <c:dLbls>
          <c:showLegendKey val="0"/>
          <c:showVal val="0"/>
          <c:showCatName val="0"/>
          <c:showSerName val="0"/>
          <c:showPercent val="0"/>
          <c:showBubbleSize val="0"/>
        </c:dLbls>
        <c:hiLowLines>
          <c:spPr>
            <a:ln>
              <a:noFill/>
            </a:ln>
          </c:spPr>
        </c:hiLowLines>
        <c:marker val="1"/>
        <c:smooth val="0"/>
        <c:axId val="56410061"/>
        <c:axId val="35286544"/>
      </c:lineChart>
      <c:catAx>
        <c:axId val="56410061"/>
        <c:scaling>
          <c:orientation val="minMax"/>
        </c:scaling>
        <c:delete val="0"/>
        <c:axPos val="b"/>
        <c:numFmt formatCode="General" sourceLinked="1"/>
        <c:majorTickMark val="none"/>
        <c:minorTickMark val="none"/>
        <c:tickLblPos val="nextTo"/>
        <c:spPr>
          <a:ln w="12600">
            <a:solidFill>
              <a:srgbClr val="F2F2F2">
                <a:alpha val="54000"/>
              </a:srgbClr>
            </a:solidFill>
            <a:round/>
          </a:ln>
        </c:spPr>
        <c:txPr>
          <a:bodyPr/>
          <a:lstStyle/>
          <a:p>
            <a:pPr>
              <a:defRPr sz="900" b="0" strike="noStrike" spc="-1">
                <a:solidFill>
                  <a:srgbClr val="D9D9D9"/>
                </a:solidFill>
                <a:latin typeface="Calibri"/>
              </a:defRPr>
            </a:pPr>
            <a:endParaRPr lang="bg-BG"/>
          </a:p>
        </c:txPr>
        <c:crossAx val="35286544"/>
        <c:crosses val="autoZero"/>
        <c:auto val="1"/>
        <c:lblAlgn val="ctr"/>
        <c:lblOffset val="100"/>
        <c:noMultiLvlLbl val="1"/>
      </c:catAx>
      <c:valAx>
        <c:axId val="35286544"/>
        <c:scaling>
          <c:orientation val="minMax"/>
        </c:scaling>
        <c:delete val="0"/>
        <c:axPos val="l"/>
        <c:majorGridlines>
          <c:spPr>
            <a:ln w="9360">
              <a:solidFill>
                <a:srgbClr val="F2F2F2">
                  <a:alpha val="10000"/>
                </a:srgbClr>
              </a:solidFill>
              <a:round/>
            </a:ln>
          </c:spPr>
        </c:majorGridlines>
        <c:numFmt formatCode="General" sourceLinked="0"/>
        <c:majorTickMark val="none"/>
        <c:minorTickMark val="none"/>
        <c:tickLblPos val="nextTo"/>
        <c:spPr>
          <a:ln w="6480">
            <a:noFill/>
          </a:ln>
        </c:spPr>
        <c:txPr>
          <a:bodyPr/>
          <a:lstStyle/>
          <a:p>
            <a:pPr>
              <a:defRPr sz="900" b="0" strike="noStrike" spc="-1">
                <a:solidFill>
                  <a:srgbClr val="D9D9D9"/>
                </a:solidFill>
                <a:latin typeface="Calibri"/>
              </a:defRPr>
            </a:pPr>
            <a:endParaRPr lang="bg-BG"/>
          </a:p>
        </c:txPr>
        <c:crossAx val="56410061"/>
        <c:crosses val="autoZero"/>
        <c:crossBetween val="between"/>
      </c:valAx>
      <c:spPr>
        <a:noFill/>
        <a:ln>
          <a:noFill/>
        </a:ln>
      </c:spPr>
    </c:plotArea>
    <c:legend>
      <c:legendPos val="b"/>
      <c:overlay val="0"/>
      <c:spPr>
        <a:noFill/>
        <a:ln>
          <a:noFill/>
        </a:ln>
      </c:spPr>
      <c:txPr>
        <a:bodyPr/>
        <a:lstStyle/>
        <a:p>
          <a:pPr>
            <a:defRPr sz="900" b="0" strike="noStrike" spc="-1">
              <a:solidFill>
                <a:srgbClr val="D9D9D9"/>
              </a:solidFill>
              <a:latin typeface="Calibri"/>
            </a:defRPr>
          </a:pPr>
          <a:endParaRPr lang="bg-BG"/>
        </a:p>
      </c:txPr>
    </c:legend>
    <c:plotVisOnly val="1"/>
    <c:dispBlanksAs val="gap"/>
    <c:showDLblsOverMax val="1"/>
  </c:chart>
  <c:spPr>
    <a:gradFill>
      <a:gsLst>
        <a:gs pos="0">
          <a:srgbClr val="595959"/>
        </a:gs>
        <a:gs pos="100000">
          <a:srgbClr val="262626"/>
        </a:gs>
      </a:gsLst>
      <a:path path="circle"/>
    </a:gradFill>
    <a:ln>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600" b="1" strike="noStrike" spc="97">
                <a:solidFill>
                  <a:srgbClr val="F2F2F2"/>
                </a:solidFill>
                <a:latin typeface="Calibri"/>
              </a:defRPr>
            </a:pPr>
            <a:r>
              <a:rPr lang="en-US" sz="1600" b="1" strike="noStrike" spc="97">
                <a:solidFill>
                  <a:srgbClr val="F2F2F2"/>
                </a:solidFill>
                <a:latin typeface="Calibri"/>
              </a:rPr>
              <a:t>Retail Trade</a:t>
            </a:r>
          </a:p>
        </c:rich>
      </c:tx>
      <c:overlay val="0"/>
      <c:spPr>
        <a:noFill/>
        <a:ln>
          <a:noFill/>
        </a:ln>
      </c:spPr>
    </c:title>
    <c:autoTitleDeleted val="0"/>
    <c:plotArea>
      <c:layout/>
      <c:barChart>
        <c:barDir val="col"/>
        <c:grouping val="clustered"/>
        <c:varyColors val="0"/>
        <c:ser>
          <c:idx val="0"/>
          <c:order val="0"/>
          <c:tx>
            <c:v>Main PMI</c:v>
          </c:tx>
          <c:spPr>
            <a:gradFill>
              <a:gsLst>
                <a:gs pos="0">
                  <a:srgbClr val="71A6DA"/>
                </a:gs>
                <a:gs pos="100000">
                  <a:srgbClr val="549ADA"/>
                </a:gs>
              </a:gsLst>
              <a:lin ang="5400000"/>
            </a:gradFill>
            <a:ln>
              <a:noFill/>
            </a:ln>
          </c:spPr>
          <c:invertIfNegative val="0"/>
          <c:dLbls>
            <c:spPr>
              <a:noFill/>
              <a:ln>
                <a:noFill/>
              </a:ln>
              <a:effectLst/>
            </c:spPr>
            <c:txPr>
              <a:bodyPr/>
              <a:lstStyle/>
              <a:p>
                <a:pPr>
                  <a:defRPr sz="1000" b="0" strike="noStrike" spc="-1">
                    <a:solidFill>
                      <a:srgbClr val="000000"/>
                    </a:solidFill>
                    <a:latin typeface="Calibri"/>
                  </a:defRPr>
                </a:pPr>
                <a:endParaRPr lang="bg-BG"/>
              </a:p>
            </c:txPr>
            <c:dLblPos val="outEnd"/>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'MAIN-Analisys'!$B$4:$AA$4</c:f>
              <c:numCache>
                <c:formatCode>General</c:formatCode>
                <c:ptCount val="26"/>
                <c:pt idx="0">
                  <c:v>8</c:v>
                </c:pt>
                <c:pt idx="1">
                  <c:v>3</c:v>
                </c:pt>
                <c:pt idx="2">
                  <c:v>4</c:v>
                </c:pt>
                <c:pt idx="3">
                  <c:v>8</c:v>
                </c:pt>
                <c:pt idx="4">
                  <c:v>12</c:v>
                </c:pt>
                <c:pt idx="5">
                  <c:v>-2</c:v>
                </c:pt>
                <c:pt idx="6">
                  <c:v>9</c:v>
                </c:pt>
                <c:pt idx="7">
                  <c:v>3</c:v>
                </c:pt>
                <c:pt idx="8">
                  <c:v>9</c:v>
                </c:pt>
                <c:pt idx="9">
                  <c:v>18</c:v>
                </c:pt>
                <c:pt idx="10">
                  <c:v>12</c:v>
                </c:pt>
                <c:pt idx="11">
                  <c:v>13</c:v>
                </c:pt>
                <c:pt idx="12">
                  <c:v>16</c:v>
                </c:pt>
                <c:pt idx="13">
                  <c:v>17</c:v>
                </c:pt>
                <c:pt idx="14">
                  <c:v>18</c:v>
                </c:pt>
                <c:pt idx="15">
                  <c:v>16</c:v>
                </c:pt>
                <c:pt idx="16">
                  <c:v>11</c:v>
                </c:pt>
                <c:pt idx="17">
                  <c:v>14</c:v>
                </c:pt>
                <c:pt idx="18">
                  <c:v>3</c:v>
                </c:pt>
                <c:pt idx="19">
                  <c:v>6</c:v>
                </c:pt>
              </c:numCache>
            </c:numRef>
          </c:val>
          <c:extLst>
            <c:ext xmlns:c16="http://schemas.microsoft.com/office/drawing/2014/chart" uri="{C3380CC4-5D6E-409C-BE32-E72D297353CC}">
              <c16:uniqueId val="{00000000-7331-4B2B-AA27-57E0E3FED03B}"/>
            </c:ext>
          </c:extLst>
        </c:ser>
        <c:dLbls>
          <c:showLegendKey val="0"/>
          <c:showVal val="0"/>
          <c:showCatName val="0"/>
          <c:showSerName val="0"/>
          <c:showPercent val="0"/>
          <c:showBubbleSize val="0"/>
        </c:dLbls>
        <c:gapWidth val="219"/>
        <c:overlap val="-27"/>
        <c:axId val="94731251"/>
        <c:axId val="43790911"/>
      </c:barChart>
      <c:lineChart>
        <c:grouping val="standard"/>
        <c:varyColors val="0"/>
        <c:ser>
          <c:idx val="1"/>
          <c:order val="1"/>
          <c:tx>
            <c:v>New orders</c:v>
          </c:tx>
          <c:spPr>
            <a:ln w="34920">
              <a:solidFill>
                <a:srgbClr val="ED7D31"/>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'MAIN-Analisys'!$B$24:$AA$24</c:f>
              <c:numCache>
                <c:formatCode>General</c:formatCode>
                <c:ptCount val="26"/>
                <c:pt idx="1">
                  <c:v>-1</c:v>
                </c:pt>
                <c:pt idx="2">
                  <c:v>4</c:v>
                </c:pt>
                <c:pt idx="3">
                  <c:v>6</c:v>
                </c:pt>
                <c:pt idx="4">
                  <c:v>9</c:v>
                </c:pt>
                <c:pt idx="5">
                  <c:v>0</c:v>
                </c:pt>
                <c:pt idx="6">
                  <c:v>0</c:v>
                </c:pt>
                <c:pt idx="7">
                  <c:v>8</c:v>
                </c:pt>
                <c:pt idx="8">
                  <c:v>12</c:v>
                </c:pt>
                <c:pt idx="9">
                  <c:v>18</c:v>
                </c:pt>
                <c:pt idx="10">
                  <c:v>11</c:v>
                </c:pt>
                <c:pt idx="11">
                  <c:v>7</c:v>
                </c:pt>
                <c:pt idx="12">
                  <c:v>11</c:v>
                </c:pt>
                <c:pt idx="13">
                  <c:v>17</c:v>
                </c:pt>
                <c:pt idx="14">
                  <c:v>16</c:v>
                </c:pt>
                <c:pt idx="15">
                  <c:v>17</c:v>
                </c:pt>
                <c:pt idx="16">
                  <c:v>6</c:v>
                </c:pt>
                <c:pt idx="17">
                  <c:v>10</c:v>
                </c:pt>
                <c:pt idx="18">
                  <c:v>1</c:v>
                </c:pt>
                <c:pt idx="19">
                  <c:v>0</c:v>
                </c:pt>
              </c:numCache>
            </c:numRef>
          </c:val>
          <c:smooth val="0"/>
          <c:extLst>
            <c:ext xmlns:c16="http://schemas.microsoft.com/office/drawing/2014/chart" uri="{C3380CC4-5D6E-409C-BE32-E72D297353CC}">
              <c16:uniqueId val="{00000001-7331-4B2B-AA27-57E0E3FED03B}"/>
            </c:ext>
          </c:extLst>
        </c:ser>
        <c:ser>
          <c:idx val="2"/>
          <c:order val="2"/>
          <c:tx>
            <c:v>Employment</c:v>
          </c:tx>
          <c:spPr>
            <a:ln w="34920">
              <a:solidFill>
                <a:srgbClr val="A5A5A5"/>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'MAIN-Analisys'!$B$44:$AA$44</c:f>
              <c:numCache>
                <c:formatCode>General</c:formatCode>
                <c:ptCount val="26"/>
                <c:pt idx="0">
                  <c:v>-2</c:v>
                </c:pt>
                <c:pt idx="1">
                  <c:v>0</c:v>
                </c:pt>
                <c:pt idx="2">
                  <c:v>5</c:v>
                </c:pt>
                <c:pt idx="3">
                  <c:v>0</c:v>
                </c:pt>
                <c:pt idx="4">
                  <c:v>0</c:v>
                </c:pt>
                <c:pt idx="5">
                  <c:v>-6</c:v>
                </c:pt>
                <c:pt idx="6">
                  <c:v>5</c:v>
                </c:pt>
                <c:pt idx="7">
                  <c:v>0</c:v>
                </c:pt>
                <c:pt idx="8">
                  <c:v>0</c:v>
                </c:pt>
                <c:pt idx="9">
                  <c:v>8</c:v>
                </c:pt>
                <c:pt idx="10">
                  <c:v>11</c:v>
                </c:pt>
                <c:pt idx="11">
                  <c:v>9</c:v>
                </c:pt>
                <c:pt idx="12">
                  <c:v>6</c:v>
                </c:pt>
                <c:pt idx="13">
                  <c:v>13</c:v>
                </c:pt>
                <c:pt idx="14">
                  <c:v>8</c:v>
                </c:pt>
                <c:pt idx="15">
                  <c:v>10</c:v>
                </c:pt>
                <c:pt idx="16">
                  <c:v>0</c:v>
                </c:pt>
                <c:pt idx="17">
                  <c:v>-4</c:v>
                </c:pt>
                <c:pt idx="18">
                  <c:v>-4</c:v>
                </c:pt>
                <c:pt idx="19">
                  <c:v>6</c:v>
                </c:pt>
              </c:numCache>
            </c:numRef>
          </c:val>
          <c:smooth val="0"/>
          <c:extLst>
            <c:ext xmlns:c16="http://schemas.microsoft.com/office/drawing/2014/chart" uri="{C3380CC4-5D6E-409C-BE32-E72D297353CC}">
              <c16:uniqueId val="{00000002-7331-4B2B-AA27-57E0E3FED03B}"/>
            </c:ext>
          </c:extLst>
        </c:ser>
        <c:ser>
          <c:idx val="3"/>
          <c:order val="3"/>
          <c:tx>
            <c:v>Deliveries</c:v>
          </c:tx>
          <c:spPr>
            <a:ln w="34920">
              <a:solidFill>
                <a:srgbClr val="FFC000"/>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'MAIN-Analisys'!$B$64:$AA$64</c:f>
              <c:numCache>
                <c:formatCode>General</c:formatCode>
                <c:ptCount val="26"/>
                <c:pt idx="0">
                  <c:v>-16</c:v>
                </c:pt>
                <c:pt idx="1">
                  <c:v>-9</c:v>
                </c:pt>
                <c:pt idx="2">
                  <c:v>-1</c:v>
                </c:pt>
                <c:pt idx="3">
                  <c:v>-9</c:v>
                </c:pt>
                <c:pt idx="4">
                  <c:v>-13</c:v>
                </c:pt>
                <c:pt idx="5">
                  <c:v>-10</c:v>
                </c:pt>
                <c:pt idx="6">
                  <c:v>-11</c:v>
                </c:pt>
                <c:pt idx="7">
                  <c:v>0</c:v>
                </c:pt>
                <c:pt idx="8">
                  <c:v>-13</c:v>
                </c:pt>
                <c:pt idx="9">
                  <c:v>-8</c:v>
                </c:pt>
                <c:pt idx="10">
                  <c:v>-11</c:v>
                </c:pt>
                <c:pt idx="11">
                  <c:v>-12</c:v>
                </c:pt>
                <c:pt idx="12">
                  <c:v>6</c:v>
                </c:pt>
                <c:pt idx="13">
                  <c:v>-11</c:v>
                </c:pt>
                <c:pt idx="14">
                  <c:v>-16</c:v>
                </c:pt>
                <c:pt idx="15">
                  <c:v>-7</c:v>
                </c:pt>
                <c:pt idx="16">
                  <c:v>0</c:v>
                </c:pt>
                <c:pt idx="17">
                  <c:v>-7</c:v>
                </c:pt>
                <c:pt idx="18">
                  <c:v>-9</c:v>
                </c:pt>
                <c:pt idx="19">
                  <c:v>-15</c:v>
                </c:pt>
              </c:numCache>
            </c:numRef>
          </c:val>
          <c:smooth val="0"/>
          <c:extLst>
            <c:ext xmlns:c16="http://schemas.microsoft.com/office/drawing/2014/chart" uri="{C3380CC4-5D6E-409C-BE32-E72D297353CC}">
              <c16:uniqueId val="{00000003-7331-4B2B-AA27-57E0E3FED03B}"/>
            </c:ext>
          </c:extLst>
        </c:ser>
        <c:ser>
          <c:idx val="4"/>
          <c:order val="4"/>
          <c:tx>
            <c:v>Inventory</c:v>
          </c:tx>
          <c:spPr>
            <a:ln w="34920">
              <a:solidFill>
                <a:srgbClr val="4472C4"/>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'MAIN-Analisys'!$B$84:$AA$84</c:f>
              <c:numCache>
                <c:formatCode>General</c:formatCode>
                <c:ptCount val="26"/>
                <c:pt idx="0">
                  <c:v>3</c:v>
                </c:pt>
                <c:pt idx="1">
                  <c:v>6</c:v>
                </c:pt>
                <c:pt idx="2">
                  <c:v>0</c:v>
                </c:pt>
                <c:pt idx="3">
                  <c:v>0</c:v>
                </c:pt>
                <c:pt idx="4">
                  <c:v>8</c:v>
                </c:pt>
                <c:pt idx="5">
                  <c:v>-2</c:v>
                </c:pt>
                <c:pt idx="6">
                  <c:v>-4</c:v>
                </c:pt>
                <c:pt idx="7">
                  <c:v>-4</c:v>
                </c:pt>
                <c:pt idx="8">
                  <c:v>0</c:v>
                </c:pt>
                <c:pt idx="9">
                  <c:v>0</c:v>
                </c:pt>
                <c:pt idx="10">
                  <c:v>0</c:v>
                </c:pt>
                <c:pt idx="11">
                  <c:v>5</c:v>
                </c:pt>
                <c:pt idx="12">
                  <c:v>-9</c:v>
                </c:pt>
                <c:pt idx="13">
                  <c:v>-4</c:v>
                </c:pt>
                <c:pt idx="14">
                  <c:v>-4</c:v>
                </c:pt>
                <c:pt idx="15">
                  <c:v>-5</c:v>
                </c:pt>
                <c:pt idx="16">
                  <c:v>0</c:v>
                </c:pt>
                <c:pt idx="17">
                  <c:v>-5</c:v>
                </c:pt>
                <c:pt idx="18">
                  <c:v>-3</c:v>
                </c:pt>
                <c:pt idx="19">
                  <c:v>7</c:v>
                </c:pt>
              </c:numCache>
            </c:numRef>
          </c:val>
          <c:smooth val="0"/>
          <c:extLst>
            <c:ext xmlns:c16="http://schemas.microsoft.com/office/drawing/2014/chart" uri="{C3380CC4-5D6E-409C-BE32-E72D297353CC}">
              <c16:uniqueId val="{00000004-7331-4B2B-AA27-57E0E3FED03B}"/>
            </c:ext>
          </c:extLst>
        </c:ser>
        <c:ser>
          <c:idx val="5"/>
          <c:order val="5"/>
          <c:tx>
            <c:v>Prices</c:v>
          </c:tx>
          <c:spPr>
            <a:ln w="34920">
              <a:solidFill>
                <a:srgbClr val="70AD47"/>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'MAIN-Analisys'!$B$104:$AA$104</c:f>
              <c:numCache>
                <c:formatCode>General</c:formatCode>
                <c:ptCount val="26"/>
                <c:pt idx="0">
                  <c:v>-2</c:v>
                </c:pt>
                <c:pt idx="1">
                  <c:v>7</c:v>
                </c:pt>
                <c:pt idx="2">
                  <c:v>0</c:v>
                </c:pt>
                <c:pt idx="3">
                  <c:v>-1</c:v>
                </c:pt>
                <c:pt idx="4">
                  <c:v>0</c:v>
                </c:pt>
                <c:pt idx="5">
                  <c:v>13</c:v>
                </c:pt>
                <c:pt idx="6">
                  <c:v>9</c:v>
                </c:pt>
                <c:pt idx="7">
                  <c:v>11</c:v>
                </c:pt>
                <c:pt idx="8">
                  <c:v>11</c:v>
                </c:pt>
                <c:pt idx="9">
                  <c:v>5</c:v>
                </c:pt>
                <c:pt idx="10">
                  <c:v>6</c:v>
                </c:pt>
                <c:pt idx="11">
                  <c:v>14</c:v>
                </c:pt>
                <c:pt idx="12">
                  <c:v>18</c:v>
                </c:pt>
                <c:pt idx="13">
                  <c:v>15</c:v>
                </c:pt>
                <c:pt idx="14">
                  <c:v>9</c:v>
                </c:pt>
                <c:pt idx="15">
                  <c:v>7</c:v>
                </c:pt>
                <c:pt idx="16">
                  <c:v>5</c:v>
                </c:pt>
                <c:pt idx="17">
                  <c:v>13</c:v>
                </c:pt>
                <c:pt idx="18">
                  <c:v>1</c:v>
                </c:pt>
                <c:pt idx="19">
                  <c:v>5</c:v>
                </c:pt>
              </c:numCache>
            </c:numRef>
          </c:val>
          <c:smooth val="0"/>
          <c:extLst>
            <c:ext xmlns:c16="http://schemas.microsoft.com/office/drawing/2014/chart" uri="{C3380CC4-5D6E-409C-BE32-E72D297353CC}">
              <c16:uniqueId val="{00000005-7331-4B2B-AA27-57E0E3FED03B}"/>
            </c:ext>
          </c:extLst>
        </c:ser>
        <c:ser>
          <c:idx val="6"/>
          <c:order val="6"/>
          <c:tx>
            <c:v>Business Activiry</c:v>
          </c:tx>
          <c:spPr>
            <a:ln>
              <a:solidFill>
                <a:schemeClr val="bg1"/>
              </a:solidFill>
            </a:ln>
          </c:spPr>
          <c:marker>
            <c:symbol val="none"/>
          </c:marker>
          <c:val>
            <c:numRef>
              <c:f>'MAIN-Analisys'!$B$124:$U$124</c:f>
              <c:numCache>
                <c:formatCode>General</c:formatCode>
                <c:ptCount val="20"/>
                <c:pt idx="0">
                  <c:v>1</c:v>
                </c:pt>
                <c:pt idx="1">
                  <c:v>0</c:v>
                </c:pt>
                <c:pt idx="2">
                  <c:v>1</c:v>
                </c:pt>
                <c:pt idx="3">
                  <c:v>7</c:v>
                </c:pt>
                <c:pt idx="4">
                  <c:v>7</c:v>
                </c:pt>
                <c:pt idx="5">
                  <c:v>-2</c:v>
                </c:pt>
                <c:pt idx="6">
                  <c:v>0</c:v>
                </c:pt>
                <c:pt idx="7">
                  <c:v>3</c:v>
                </c:pt>
                <c:pt idx="8">
                  <c:v>11</c:v>
                </c:pt>
                <c:pt idx="9">
                  <c:v>18</c:v>
                </c:pt>
                <c:pt idx="10">
                  <c:v>9</c:v>
                </c:pt>
                <c:pt idx="11">
                  <c:v>14</c:v>
                </c:pt>
                <c:pt idx="12">
                  <c:v>11</c:v>
                </c:pt>
                <c:pt idx="13">
                  <c:v>17</c:v>
                </c:pt>
                <c:pt idx="14">
                  <c:v>16</c:v>
                </c:pt>
                <c:pt idx="15">
                  <c:v>15</c:v>
                </c:pt>
                <c:pt idx="16">
                  <c:v>13</c:v>
                </c:pt>
                <c:pt idx="17">
                  <c:v>8</c:v>
                </c:pt>
                <c:pt idx="18">
                  <c:v>2</c:v>
                </c:pt>
                <c:pt idx="19">
                  <c:v>0</c:v>
                </c:pt>
              </c:numCache>
            </c:numRef>
          </c:val>
          <c:smooth val="0"/>
          <c:extLst>
            <c:ext xmlns:c16="http://schemas.microsoft.com/office/drawing/2014/chart" uri="{C3380CC4-5D6E-409C-BE32-E72D297353CC}">
              <c16:uniqueId val="{00000001-0CB9-4FE7-B40A-725DDEAE8C1D}"/>
            </c:ext>
          </c:extLst>
        </c:ser>
        <c:dLbls>
          <c:showLegendKey val="0"/>
          <c:showVal val="0"/>
          <c:showCatName val="0"/>
          <c:showSerName val="0"/>
          <c:showPercent val="0"/>
          <c:showBubbleSize val="0"/>
        </c:dLbls>
        <c:hiLowLines>
          <c:spPr>
            <a:ln>
              <a:noFill/>
            </a:ln>
          </c:spPr>
        </c:hiLowLines>
        <c:marker val="1"/>
        <c:smooth val="0"/>
        <c:axId val="94731251"/>
        <c:axId val="43790911"/>
      </c:lineChart>
      <c:catAx>
        <c:axId val="94731251"/>
        <c:scaling>
          <c:orientation val="minMax"/>
        </c:scaling>
        <c:delete val="0"/>
        <c:axPos val="b"/>
        <c:numFmt formatCode="General" sourceLinked="1"/>
        <c:majorTickMark val="none"/>
        <c:minorTickMark val="none"/>
        <c:tickLblPos val="nextTo"/>
        <c:spPr>
          <a:ln w="12600">
            <a:solidFill>
              <a:srgbClr val="F2F2F2">
                <a:alpha val="54000"/>
              </a:srgbClr>
            </a:solidFill>
            <a:round/>
          </a:ln>
        </c:spPr>
        <c:txPr>
          <a:bodyPr/>
          <a:lstStyle/>
          <a:p>
            <a:pPr>
              <a:defRPr sz="900" b="0" strike="noStrike" spc="-1">
                <a:solidFill>
                  <a:srgbClr val="D9D9D9"/>
                </a:solidFill>
                <a:latin typeface="Calibri"/>
              </a:defRPr>
            </a:pPr>
            <a:endParaRPr lang="bg-BG"/>
          </a:p>
        </c:txPr>
        <c:crossAx val="43790911"/>
        <c:crosses val="autoZero"/>
        <c:auto val="1"/>
        <c:lblAlgn val="ctr"/>
        <c:lblOffset val="100"/>
        <c:noMultiLvlLbl val="1"/>
      </c:catAx>
      <c:valAx>
        <c:axId val="43790911"/>
        <c:scaling>
          <c:orientation val="minMax"/>
        </c:scaling>
        <c:delete val="0"/>
        <c:axPos val="l"/>
        <c:majorGridlines>
          <c:spPr>
            <a:ln w="9360">
              <a:solidFill>
                <a:srgbClr val="F2F2F2">
                  <a:alpha val="10000"/>
                </a:srgbClr>
              </a:solidFill>
              <a:round/>
            </a:ln>
          </c:spPr>
        </c:majorGridlines>
        <c:numFmt formatCode="General" sourceLinked="0"/>
        <c:majorTickMark val="none"/>
        <c:minorTickMark val="none"/>
        <c:tickLblPos val="nextTo"/>
        <c:spPr>
          <a:ln w="6480">
            <a:noFill/>
          </a:ln>
        </c:spPr>
        <c:txPr>
          <a:bodyPr/>
          <a:lstStyle/>
          <a:p>
            <a:pPr>
              <a:defRPr sz="900" b="0" strike="noStrike" spc="-1">
                <a:solidFill>
                  <a:srgbClr val="D9D9D9"/>
                </a:solidFill>
                <a:latin typeface="Calibri"/>
              </a:defRPr>
            </a:pPr>
            <a:endParaRPr lang="bg-BG"/>
          </a:p>
        </c:txPr>
        <c:crossAx val="94731251"/>
        <c:crosses val="autoZero"/>
        <c:crossBetween val="between"/>
      </c:valAx>
      <c:spPr>
        <a:noFill/>
        <a:ln>
          <a:noFill/>
        </a:ln>
      </c:spPr>
    </c:plotArea>
    <c:legend>
      <c:legendPos val="b"/>
      <c:overlay val="0"/>
      <c:spPr>
        <a:noFill/>
        <a:ln>
          <a:noFill/>
        </a:ln>
      </c:spPr>
      <c:txPr>
        <a:bodyPr/>
        <a:lstStyle/>
        <a:p>
          <a:pPr>
            <a:defRPr sz="900" b="0" strike="noStrike" spc="-1">
              <a:solidFill>
                <a:srgbClr val="D9D9D9"/>
              </a:solidFill>
              <a:latin typeface="Calibri"/>
            </a:defRPr>
          </a:pPr>
          <a:endParaRPr lang="bg-BG"/>
        </a:p>
      </c:txPr>
    </c:legend>
    <c:plotVisOnly val="1"/>
    <c:dispBlanksAs val="gap"/>
    <c:showDLblsOverMax val="1"/>
  </c:chart>
  <c:spPr>
    <a:gradFill>
      <a:gsLst>
        <a:gs pos="0">
          <a:srgbClr val="595959"/>
        </a:gs>
        <a:gs pos="100000">
          <a:srgbClr val="262626"/>
        </a:gs>
      </a:gsLst>
      <a:path path="circle"/>
    </a:gradFill>
    <a:ln>
      <a:no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600" b="1" strike="noStrike" spc="97">
                <a:solidFill>
                  <a:srgbClr val="F2F2F2"/>
                </a:solidFill>
                <a:latin typeface="Calibri"/>
              </a:defRPr>
            </a:pPr>
            <a:r>
              <a:rPr lang="en-US" sz="1600" b="1" strike="noStrike" spc="97">
                <a:solidFill>
                  <a:srgbClr val="F2F2F2"/>
                </a:solidFill>
                <a:latin typeface="Calibri"/>
              </a:rPr>
              <a:t>Health Care &amp; Social Assistance</a:t>
            </a:r>
          </a:p>
        </c:rich>
      </c:tx>
      <c:overlay val="0"/>
      <c:spPr>
        <a:noFill/>
        <a:ln>
          <a:noFill/>
        </a:ln>
      </c:spPr>
    </c:title>
    <c:autoTitleDeleted val="0"/>
    <c:plotArea>
      <c:layout/>
      <c:barChart>
        <c:barDir val="col"/>
        <c:grouping val="clustered"/>
        <c:varyColors val="0"/>
        <c:ser>
          <c:idx val="0"/>
          <c:order val="0"/>
          <c:tx>
            <c:v>Main PMI</c:v>
          </c:tx>
          <c:spPr>
            <a:gradFill>
              <a:gsLst>
                <a:gs pos="0">
                  <a:srgbClr val="71A6DA"/>
                </a:gs>
                <a:gs pos="100000">
                  <a:srgbClr val="549ADA"/>
                </a:gs>
              </a:gsLst>
              <a:lin ang="5400000"/>
            </a:gradFill>
            <a:ln>
              <a:noFill/>
            </a:ln>
          </c:spPr>
          <c:invertIfNegative val="0"/>
          <c:dLbls>
            <c:spPr>
              <a:noFill/>
              <a:ln>
                <a:noFill/>
              </a:ln>
              <a:effectLst/>
            </c:spPr>
            <c:txPr>
              <a:bodyPr/>
              <a:lstStyle/>
              <a:p>
                <a:pPr>
                  <a:defRPr sz="1000" b="0" strike="noStrike" spc="-1">
                    <a:solidFill>
                      <a:srgbClr val="000000"/>
                    </a:solidFill>
                    <a:latin typeface="Calibri"/>
                  </a:defRPr>
                </a:pPr>
                <a:endParaRPr lang="bg-BG"/>
              </a:p>
            </c:txPr>
            <c:dLblPos val="outEnd"/>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'MAIN-Analisys'!$B$5:$AA$5</c:f>
              <c:numCache>
                <c:formatCode>General</c:formatCode>
                <c:ptCount val="26"/>
                <c:pt idx="0">
                  <c:v>14</c:v>
                </c:pt>
                <c:pt idx="1">
                  <c:v>12</c:v>
                </c:pt>
                <c:pt idx="2">
                  <c:v>13</c:v>
                </c:pt>
                <c:pt idx="3">
                  <c:v>12</c:v>
                </c:pt>
                <c:pt idx="4">
                  <c:v>11</c:v>
                </c:pt>
                <c:pt idx="5">
                  <c:v>9</c:v>
                </c:pt>
                <c:pt idx="6">
                  <c:v>10</c:v>
                </c:pt>
                <c:pt idx="7">
                  <c:v>6</c:v>
                </c:pt>
                <c:pt idx="8">
                  <c:v>5</c:v>
                </c:pt>
                <c:pt idx="9">
                  <c:v>5</c:v>
                </c:pt>
                <c:pt idx="10">
                  <c:v>6</c:v>
                </c:pt>
                <c:pt idx="11">
                  <c:v>6</c:v>
                </c:pt>
                <c:pt idx="12">
                  <c:v>7</c:v>
                </c:pt>
                <c:pt idx="13">
                  <c:v>5</c:v>
                </c:pt>
                <c:pt idx="14">
                  <c:v>7</c:v>
                </c:pt>
                <c:pt idx="15">
                  <c:v>8</c:v>
                </c:pt>
                <c:pt idx="16">
                  <c:v>9</c:v>
                </c:pt>
                <c:pt idx="17">
                  <c:v>13</c:v>
                </c:pt>
                <c:pt idx="18">
                  <c:v>7</c:v>
                </c:pt>
                <c:pt idx="19">
                  <c:v>1</c:v>
                </c:pt>
              </c:numCache>
            </c:numRef>
          </c:val>
          <c:extLst>
            <c:ext xmlns:c16="http://schemas.microsoft.com/office/drawing/2014/chart" uri="{C3380CC4-5D6E-409C-BE32-E72D297353CC}">
              <c16:uniqueId val="{00000000-444D-425D-9ECD-98A7A9F31115}"/>
            </c:ext>
          </c:extLst>
        </c:ser>
        <c:dLbls>
          <c:showLegendKey val="0"/>
          <c:showVal val="0"/>
          <c:showCatName val="0"/>
          <c:showSerName val="0"/>
          <c:showPercent val="0"/>
          <c:showBubbleSize val="0"/>
        </c:dLbls>
        <c:gapWidth val="219"/>
        <c:overlap val="-27"/>
        <c:axId val="68537542"/>
        <c:axId val="80752442"/>
      </c:barChart>
      <c:lineChart>
        <c:grouping val="standard"/>
        <c:varyColors val="0"/>
        <c:ser>
          <c:idx val="1"/>
          <c:order val="1"/>
          <c:tx>
            <c:v>New orders</c:v>
          </c:tx>
          <c:spPr>
            <a:ln w="34920">
              <a:solidFill>
                <a:srgbClr val="ED7D31"/>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'MAIN-Analisys'!$B$25:$AA$25</c:f>
              <c:numCache>
                <c:formatCode>General</c:formatCode>
                <c:ptCount val="26"/>
                <c:pt idx="0">
                  <c:v>8</c:v>
                </c:pt>
                <c:pt idx="1">
                  <c:v>11</c:v>
                </c:pt>
                <c:pt idx="2">
                  <c:v>13</c:v>
                </c:pt>
                <c:pt idx="3">
                  <c:v>10</c:v>
                </c:pt>
                <c:pt idx="4">
                  <c:v>8</c:v>
                </c:pt>
                <c:pt idx="5">
                  <c:v>0</c:v>
                </c:pt>
                <c:pt idx="6">
                  <c:v>1</c:v>
                </c:pt>
                <c:pt idx="7">
                  <c:v>10</c:v>
                </c:pt>
                <c:pt idx="8">
                  <c:v>5</c:v>
                </c:pt>
                <c:pt idx="9">
                  <c:v>12</c:v>
                </c:pt>
                <c:pt idx="10">
                  <c:v>7</c:v>
                </c:pt>
                <c:pt idx="11">
                  <c:v>9</c:v>
                </c:pt>
                <c:pt idx="12">
                  <c:v>6</c:v>
                </c:pt>
                <c:pt idx="13">
                  <c:v>5</c:v>
                </c:pt>
                <c:pt idx="14">
                  <c:v>7</c:v>
                </c:pt>
                <c:pt idx="15">
                  <c:v>12</c:v>
                </c:pt>
                <c:pt idx="16">
                  <c:v>5</c:v>
                </c:pt>
                <c:pt idx="17">
                  <c:v>7</c:v>
                </c:pt>
                <c:pt idx="18">
                  <c:v>0</c:v>
                </c:pt>
                <c:pt idx="19">
                  <c:v>-1</c:v>
                </c:pt>
              </c:numCache>
            </c:numRef>
          </c:val>
          <c:smooth val="0"/>
          <c:extLst>
            <c:ext xmlns:c16="http://schemas.microsoft.com/office/drawing/2014/chart" uri="{C3380CC4-5D6E-409C-BE32-E72D297353CC}">
              <c16:uniqueId val="{00000001-444D-425D-9ECD-98A7A9F31115}"/>
            </c:ext>
          </c:extLst>
        </c:ser>
        <c:ser>
          <c:idx val="2"/>
          <c:order val="2"/>
          <c:tx>
            <c:v>Employment</c:v>
          </c:tx>
          <c:spPr>
            <a:ln w="34920">
              <a:solidFill>
                <a:srgbClr val="A5A5A5"/>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'MAIN-Analisys'!$B$45:$AA$45</c:f>
              <c:numCache>
                <c:formatCode>General</c:formatCode>
                <c:ptCount val="26"/>
                <c:pt idx="0">
                  <c:v>4</c:v>
                </c:pt>
                <c:pt idx="1">
                  <c:v>4</c:v>
                </c:pt>
                <c:pt idx="2">
                  <c:v>4</c:v>
                </c:pt>
                <c:pt idx="3">
                  <c:v>2</c:v>
                </c:pt>
                <c:pt idx="4">
                  <c:v>-1</c:v>
                </c:pt>
                <c:pt idx="5">
                  <c:v>3</c:v>
                </c:pt>
                <c:pt idx="6">
                  <c:v>10</c:v>
                </c:pt>
                <c:pt idx="7">
                  <c:v>-1</c:v>
                </c:pt>
                <c:pt idx="8">
                  <c:v>1</c:v>
                </c:pt>
                <c:pt idx="9">
                  <c:v>0</c:v>
                </c:pt>
                <c:pt idx="10">
                  <c:v>3</c:v>
                </c:pt>
                <c:pt idx="11">
                  <c:v>-3</c:v>
                </c:pt>
                <c:pt idx="12">
                  <c:v>-2</c:v>
                </c:pt>
                <c:pt idx="13">
                  <c:v>-2</c:v>
                </c:pt>
                <c:pt idx="14">
                  <c:v>-2</c:v>
                </c:pt>
                <c:pt idx="15">
                  <c:v>-2</c:v>
                </c:pt>
                <c:pt idx="16">
                  <c:v>-1</c:v>
                </c:pt>
                <c:pt idx="17">
                  <c:v>-7</c:v>
                </c:pt>
                <c:pt idx="18">
                  <c:v>3</c:v>
                </c:pt>
                <c:pt idx="19">
                  <c:v>1</c:v>
                </c:pt>
              </c:numCache>
            </c:numRef>
          </c:val>
          <c:smooth val="0"/>
          <c:extLst>
            <c:ext xmlns:c16="http://schemas.microsoft.com/office/drawing/2014/chart" uri="{C3380CC4-5D6E-409C-BE32-E72D297353CC}">
              <c16:uniqueId val="{00000002-444D-425D-9ECD-98A7A9F31115}"/>
            </c:ext>
          </c:extLst>
        </c:ser>
        <c:ser>
          <c:idx val="3"/>
          <c:order val="3"/>
          <c:tx>
            <c:v>Deliveries</c:v>
          </c:tx>
          <c:spPr>
            <a:ln w="34920">
              <a:solidFill>
                <a:srgbClr val="FFC000"/>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'MAIN-Analisys'!$B$65:$AA$65</c:f>
              <c:numCache>
                <c:formatCode>General</c:formatCode>
                <c:ptCount val="26"/>
                <c:pt idx="0">
                  <c:v>-12</c:v>
                </c:pt>
                <c:pt idx="1">
                  <c:v>-7</c:v>
                </c:pt>
                <c:pt idx="2">
                  <c:v>-4</c:v>
                </c:pt>
                <c:pt idx="3">
                  <c:v>-5</c:v>
                </c:pt>
                <c:pt idx="4">
                  <c:v>-11</c:v>
                </c:pt>
                <c:pt idx="5">
                  <c:v>-9</c:v>
                </c:pt>
                <c:pt idx="6">
                  <c:v>-7</c:v>
                </c:pt>
                <c:pt idx="7">
                  <c:v>-6</c:v>
                </c:pt>
                <c:pt idx="8">
                  <c:v>-4</c:v>
                </c:pt>
                <c:pt idx="9">
                  <c:v>-5</c:v>
                </c:pt>
                <c:pt idx="10">
                  <c:v>-5</c:v>
                </c:pt>
                <c:pt idx="11">
                  <c:v>-7</c:v>
                </c:pt>
                <c:pt idx="12">
                  <c:v>3</c:v>
                </c:pt>
                <c:pt idx="13">
                  <c:v>-13</c:v>
                </c:pt>
                <c:pt idx="14">
                  <c:v>-12</c:v>
                </c:pt>
                <c:pt idx="15">
                  <c:v>-11</c:v>
                </c:pt>
                <c:pt idx="16">
                  <c:v>-11</c:v>
                </c:pt>
                <c:pt idx="17">
                  <c:v>-14</c:v>
                </c:pt>
                <c:pt idx="18">
                  <c:v>-14</c:v>
                </c:pt>
                <c:pt idx="19">
                  <c:v>-4</c:v>
                </c:pt>
              </c:numCache>
            </c:numRef>
          </c:val>
          <c:smooth val="0"/>
          <c:extLst>
            <c:ext xmlns:c16="http://schemas.microsoft.com/office/drawing/2014/chart" uri="{C3380CC4-5D6E-409C-BE32-E72D297353CC}">
              <c16:uniqueId val="{00000003-444D-425D-9ECD-98A7A9F31115}"/>
            </c:ext>
          </c:extLst>
        </c:ser>
        <c:ser>
          <c:idx val="4"/>
          <c:order val="4"/>
          <c:tx>
            <c:v>Inventory</c:v>
          </c:tx>
          <c:spPr>
            <a:ln w="34920">
              <a:solidFill>
                <a:srgbClr val="4472C4"/>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'MAIN-Analisys'!$B$85:$AA$85</c:f>
              <c:numCache>
                <c:formatCode>General</c:formatCode>
                <c:ptCount val="26"/>
                <c:pt idx="0">
                  <c:v>4</c:v>
                </c:pt>
                <c:pt idx="1">
                  <c:v>5</c:v>
                </c:pt>
                <c:pt idx="2">
                  <c:v>3</c:v>
                </c:pt>
                <c:pt idx="3">
                  <c:v>7</c:v>
                </c:pt>
                <c:pt idx="4">
                  <c:v>5</c:v>
                </c:pt>
                <c:pt idx="5">
                  <c:v>4</c:v>
                </c:pt>
                <c:pt idx="6">
                  <c:v>-1</c:v>
                </c:pt>
                <c:pt idx="7">
                  <c:v>-2</c:v>
                </c:pt>
                <c:pt idx="8">
                  <c:v>-3</c:v>
                </c:pt>
                <c:pt idx="9">
                  <c:v>-5</c:v>
                </c:pt>
                <c:pt idx="10">
                  <c:v>-2</c:v>
                </c:pt>
                <c:pt idx="11">
                  <c:v>-5</c:v>
                </c:pt>
                <c:pt idx="12">
                  <c:v>4</c:v>
                </c:pt>
                <c:pt idx="13">
                  <c:v>1</c:v>
                </c:pt>
                <c:pt idx="14">
                  <c:v>1</c:v>
                </c:pt>
                <c:pt idx="15">
                  <c:v>2</c:v>
                </c:pt>
                <c:pt idx="16">
                  <c:v>2</c:v>
                </c:pt>
                <c:pt idx="17">
                  <c:v>3</c:v>
                </c:pt>
                <c:pt idx="18">
                  <c:v>3</c:v>
                </c:pt>
                <c:pt idx="19">
                  <c:v>-1</c:v>
                </c:pt>
              </c:numCache>
            </c:numRef>
          </c:val>
          <c:smooth val="0"/>
          <c:extLst>
            <c:ext xmlns:c16="http://schemas.microsoft.com/office/drawing/2014/chart" uri="{C3380CC4-5D6E-409C-BE32-E72D297353CC}">
              <c16:uniqueId val="{00000004-444D-425D-9ECD-98A7A9F31115}"/>
            </c:ext>
          </c:extLst>
        </c:ser>
        <c:ser>
          <c:idx val="5"/>
          <c:order val="5"/>
          <c:tx>
            <c:v>Prices</c:v>
          </c:tx>
          <c:spPr>
            <a:ln w="34920">
              <a:solidFill>
                <a:srgbClr val="70AD47"/>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'MAIN-Analisys'!$B$105:$AA$105</c:f>
              <c:numCache>
                <c:formatCode>General</c:formatCode>
                <c:ptCount val="26"/>
                <c:pt idx="0">
                  <c:v>10</c:v>
                </c:pt>
                <c:pt idx="1">
                  <c:v>10</c:v>
                </c:pt>
                <c:pt idx="2">
                  <c:v>12</c:v>
                </c:pt>
                <c:pt idx="3">
                  <c:v>10</c:v>
                </c:pt>
                <c:pt idx="4">
                  <c:v>8</c:v>
                </c:pt>
                <c:pt idx="5">
                  <c:v>8</c:v>
                </c:pt>
                <c:pt idx="6">
                  <c:v>7</c:v>
                </c:pt>
                <c:pt idx="7">
                  <c:v>5</c:v>
                </c:pt>
                <c:pt idx="8">
                  <c:v>1</c:v>
                </c:pt>
                <c:pt idx="9">
                  <c:v>1</c:v>
                </c:pt>
                <c:pt idx="10">
                  <c:v>1</c:v>
                </c:pt>
                <c:pt idx="11">
                  <c:v>2</c:v>
                </c:pt>
                <c:pt idx="12">
                  <c:v>4</c:v>
                </c:pt>
                <c:pt idx="13">
                  <c:v>1</c:v>
                </c:pt>
                <c:pt idx="14">
                  <c:v>1</c:v>
                </c:pt>
                <c:pt idx="15">
                  <c:v>6</c:v>
                </c:pt>
                <c:pt idx="16">
                  <c:v>3</c:v>
                </c:pt>
                <c:pt idx="17">
                  <c:v>5</c:v>
                </c:pt>
                <c:pt idx="18">
                  <c:v>3</c:v>
                </c:pt>
                <c:pt idx="19">
                  <c:v>2</c:v>
                </c:pt>
              </c:numCache>
            </c:numRef>
          </c:val>
          <c:smooth val="0"/>
          <c:extLst>
            <c:ext xmlns:c16="http://schemas.microsoft.com/office/drawing/2014/chart" uri="{C3380CC4-5D6E-409C-BE32-E72D297353CC}">
              <c16:uniqueId val="{00000005-444D-425D-9ECD-98A7A9F31115}"/>
            </c:ext>
          </c:extLst>
        </c:ser>
        <c:ser>
          <c:idx val="6"/>
          <c:order val="6"/>
          <c:tx>
            <c:v>Business Activity</c:v>
          </c:tx>
          <c:spPr>
            <a:ln>
              <a:solidFill>
                <a:schemeClr val="bg1"/>
              </a:solidFill>
            </a:ln>
          </c:spPr>
          <c:marker>
            <c:symbol val="none"/>
          </c:marker>
          <c:val>
            <c:numRef>
              <c:f>'MAIN-Analisys'!$B$125:$U$125</c:f>
              <c:numCache>
                <c:formatCode>General</c:formatCode>
                <c:ptCount val="20"/>
                <c:pt idx="0">
                  <c:v>9</c:v>
                </c:pt>
                <c:pt idx="1">
                  <c:v>9</c:v>
                </c:pt>
                <c:pt idx="2">
                  <c:v>11</c:v>
                </c:pt>
                <c:pt idx="3">
                  <c:v>12</c:v>
                </c:pt>
                <c:pt idx="4">
                  <c:v>10</c:v>
                </c:pt>
                <c:pt idx="5">
                  <c:v>5</c:v>
                </c:pt>
                <c:pt idx="6">
                  <c:v>3</c:v>
                </c:pt>
                <c:pt idx="7">
                  <c:v>6</c:v>
                </c:pt>
                <c:pt idx="8">
                  <c:v>6</c:v>
                </c:pt>
                <c:pt idx="9">
                  <c:v>8</c:v>
                </c:pt>
                <c:pt idx="10">
                  <c:v>6</c:v>
                </c:pt>
                <c:pt idx="11">
                  <c:v>10</c:v>
                </c:pt>
                <c:pt idx="12">
                  <c:v>10</c:v>
                </c:pt>
                <c:pt idx="13">
                  <c:v>13</c:v>
                </c:pt>
                <c:pt idx="14">
                  <c:v>11</c:v>
                </c:pt>
                <c:pt idx="15">
                  <c:v>11</c:v>
                </c:pt>
                <c:pt idx="16">
                  <c:v>11</c:v>
                </c:pt>
                <c:pt idx="17">
                  <c:v>7</c:v>
                </c:pt>
                <c:pt idx="18">
                  <c:v>1</c:v>
                </c:pt>
                <c:pt idx="19">
                  <c:v>-1</c:v>
                </c:pt>
              </c:numCache>
            </c:numRef>
          </c:val>
          <c:smooth val="0"/>
          <c:extLst>
            <c:ext xmlns:c16="http://schemas.microsoft.com/office/drawing/2014/chart" uri="{C3380CC4-5D6E-409C-BE32-E72D297353CC}">
              <c16:uniqueId val="{00000001-B309-4E92-8E4A-24BF6D6E9CEA}"/>
            </c:ext>
          </c:extLst>
        </c:ser>
        <c:dLbls>
          <c:showLegendKey val="0"/>
          <c:showVal val="0"/>
          <c:showCatName val="0"/>
          <c:showSerName val="0"/>
          <c:showPercent val="0"/>
          <c:showBubbleSize val="0"/>
        </c:dLbls>
        <c:hiLowLines>
          <c:spPr>
            <a:ln>
              <a:noFill/>
            </a:ln>
          </c:spPr>
        </c:hiLowLines>
        <c:marker val="1"/>
        <c:smooth val="0"/>
        <c:axId val="68537542"/>
        <c:axId val="80752442"/>
      </c:lineChart>
      <c:catAx>
        <c:axId val="68537542"/>
        <c:scaling>
          <c:orientation val="minMax"/>
        </c:scaling>
        <c:delete val="0"/>
        <c:axPos val="b"/>
        <c:numFmt formatCode="General" sourceLinked="1"/>
        <c:majorTickMark val="none"/>
        <c:minorTickMark val="none"/>
        <c:tickLblPos val="nextTo"/>
        <c:spPr>
          <a:ln w="12600">
            <a:solidFill>
              <a:srgbClr val="F2F2F2">
                <a:alpha val="54000"/>
              </a:srgbClr>
            </a:solidFill>
            <a:round/>
          </a:ln>
        </c:spPr>
        <c:txPr>
          <a:bodyPr/>
          <a:lstStyle/>
          <a:p>
            <a:pPr>
              <a:defRPr sz="900" b="0" strike="noStrike" spc="-1">
                <a:solidFill>
                  <a:srgbClr val="D9D9D9"/>
                </a:solidFill>
                <a:latin typeface="Calibri"/>
              </a:defRPr>
            </a:pPr>
            <a:endParaRPr lang="bg-BG"/>
          </a:p>
        </c:txPr>
        <c:crossAx val="80752442"/>
        <c:crosses val="autoZero"/>
        <c:auto val="1"/>
        <c:lblAlgn val="ctr"/>
        <c:lblOffset val="100"/>
        <c:noMultiLvlLbl val="1"/>
      </c:catAx>
      <c:valAx>
        <c:axId val="80752442"/>
        <c:scaling>
          <c:orientation val="minMax"/>
        </c:scaling>
        <c:delete val="0"/>
        <c:axPos val="l"/>
        <c:majorGridlines>
          <c:spPr>
            <a:ln w="9360">
              <a:solidFill>
                <a:srgbClr val="F2F2F2">
                  <a:alpha val="10000"/>
                </a:srgbClr>
              </a:solidFill>
              <a:round/>
            </a:ln>
          </c:spPr>
        </c:majorGridlines>
        <c:numFmt formatCode="General" sourceLinked="0"/>
        <c:majorTickMark val="none"/>
        <c:minorTickMark val="none"/>
        <c:tickLblPos val="nextTo"/>
        <c:spPr>
          <a:ln w="6480">
            <a:noFill/>
          </a:ln>
        </c:spPr>
        <c:txPr>
          <a:bodyPr/>
          <a:lstStyle/>
          <a:p>
            <a:pPr>
              <a:defRPr sz="900" b="0" strike="noStrike" spc="-1">
                <a:solidFill>
                  <a:srgbClr val="D9D9D9"/>
                </a:solidFill>
                <a:latin typeface="Calibri"/>
              </a:defRPr>
            </a:pPr>
            <a:endParaRPr lang="bg-BG"/>
          </a:p>
        </c:txPr>
        <c:crossAx val="68537542"/>
        <c:crosses val="autoZero"/>
        <c:crossBetween val="between"/>
      </c:valAx>
      <c:spPr>
        <a:noFill/>
        <a:ln>
          <a:noFill/>
        </a:ln>
      </c:spPr>
    </c:plotArea>
    <c:legend>
      <c:legendPos val="b"/>
      <c:overlay val="0"/>
      <c:spPr>
        <a:noFill/>
        <a:ln>
          <a:noFill/>
        </a:ln>
      </c:spPr>
      <c:txPr>
        <a:bodyPr/>
        <a:lstStyle/>
        <a:p>
          <a:pPr>
            <a:defRPr sz="900" b="0" strike="noStrike" spc="-1">
              <a:solidFill>
                <a:srgbClr val="D9D9D9"/>
              </a:solidFill>
              <a:latin typeface="Calibri"/>
            </a:defRPr>
          </a:pPr>
          <a:endParaRPr lang="bg-BG"/>
        </a:p>
      </c:txPr>
    </c:legend>
    <c:plotVisOnly val="1"/>
    <c:dispBlanksAs val="gap"/>
    <c:showDLblsOverMax val="1"/>
  </c:chart>
  <c:spPr>
    <a:gradFill>
      <a:gsLst>
        <a:gs pos="0">
          <a:srgbClr val="595959"/>
        </a:gs>
        <a:gs pos="100000">
          <a:srgbClr val="262626"/>
        </a:gs>
      </a:gsLst>
      <a:path path="circle"/>
    </a:grad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600" b="1" strike="noStrike" spc="97">
                <a:solidFill>
                  <a:srgbClr val="F2F2F2"/>
                </a:solidFill>
                <a:latin typeface="Calibri"/>
              </a:defRPr>
            </a:pPr>
            <a:r>
              <a:rPr lang="en-US" sz="1600" b="1" strike="noStrike" spc="97">
                <a:solidFill>
                  <a:srgbClr val="F2F2F2"/>
                </a:solidFill>
                <a:latin typeface="Calibri"/>
              </a:rPr>
              <a:t>Transportation &amp; Warehousing</a:t>
            </a:r>
          </a:p>
        </c:rich>
      </c:tx>
      <c:overlay val="0"/>
      <c:spPr>
        <a:noFill/>
        <a:ln>
          <a:noFill/>
        </a:ln>
      </c:spPr>
    </c:title>
    <c:autoTitleDeleted val="0"/>
    <c:plotArea>
      <c:layout/>
      <c:barChart>
        <c:barDir val="col"/>
        <c:grouping val="clustered"/>
        <c:varyColors val="0"/>
        <c:ser>
          <c:idx val="0"/>
          <c:order val="0"/>
          <c:tx>
            <c:v>Main PMI</c:v>
          </c:tx>
          <c:spPr>
            <a:gradFill>
              <a:gsLst>
                <a:gs pos="0">
                  <a:srgbClr val="71A6DA"/>
                </a:gs>
                <a:gs pos="100000">
                  <a:srgbClr val="549ADA"/>
                </a:gs>
              </a:gsLst>
              <a:lin ang="5400000"/>
            </a:gradFill>
            <a:ln>
              <a:noFill/>
            </a:ln>
          </c:spPr>
          <c:invertIfNegative val="0"/>
          <c:dLbls>
            <c:spPr>
              <a:noFill/>
              <a:ln>
                <a:noFill/>
              </a:ln>
              <a:effectLst/>
            </c:spPr>
            <c:txPr>
              <a:bodyPr/>
              <a:lstStyle/>
              <a:p>
                <a:pPr>
                  <a:defRPr sz="1000" b="0" strike="noStrike" spc="-1">
                    <a:solidFill>
                      <a:srgbClr val="000000"/>
                    </a:solidFill>
                    <a:latin typeface="Calibri"/>
                  </a:defRPr>
                </a:pPr>
                <a:endParaRPr lang="bg-BG"/>
              </a:p>
            </c:txPr>
            <c:dLblPos val="outEnd"/>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'MAIN-Analisys'!$B$6:$AA$6</c:f>
              <c:numCache>
                <c:formatCode>General</c:formatCode>
                <c:ptCount val="26"/>
                <c:pt idx="0">
                  <c:v>11</c:v>
                </c:pt>
                <c:pt idx="1">
                  <c:v>13</c:v>
                </c:pt>
                <c:pt idx="2">
                  <c:v>16</c:v>
                </c:pt>
                <c:pt idx="3">
                  <c:v>14</c:v>
                </c:pt>
                <c:pt idx="4">
                  <c:v>10</c:v>
                </c:pt>
                <c:pt idx="5">
                  <c:v>10</c:v>
                </c:pt>
                <c:pt idx="6">
                  <c:v>15</c:v>
                </c:pt>
                <c:pt idx="7">
                  <c:v>10</c:v>
                </c:pt>
                <c:pt idx="8">
                  <c:v>10</c:v>
                </c:pt>
                <c:pt idx="9">
                  <c:v>14</c:v>
                </c:pt>
                <c:pt idx="10">
                  <c:v>14</c:v>
                </c:pt>
                <c:pt idx="11">
                  <c:v>11</c:v>
                </c:pt>
                <c:pt idx="12">
                  <c:v>8</c:v>
                </c:pt>
                <c:pt idx="13">
                  <c:v>13</c:v>
                </c:pt>
                <c:pt idx="14">
                  <c:v>17</c:v>
                </c:pt>
                <c:pt idx="15">
                  <c:v>17</c:v>
                </c:pt>
                <c:pt idx="16">
                  <c:v>13</c:v>
                </c:pt>
                <c:pt idx="17">
                  <c:v>3</c:v>
                </c:pt>
                <c:pt idx="18">
                  <c:v>13</c:v>
                </c:pt>
                <c:pt idx="19">
                  <c:v>8</c:v>
                </c:pt>
              </c:numCache>
            </c:numRef>
          </c:val>
          <c:extLst>
            <c:ext xmlns:c16="http://schemas.microsoft.com/office/drawing/2014/chart" uri="{C3380CC4-5D6E-409C-BE32-E72D297353CC}">
              <c16:uniqueId val="{00000000-114C-44D9-B72D-12385A4161AA}"/>
            </c:ext>
          </c:extLst>
        </c:ser>
        <c:dLbls>
          <c:showLegendKey val="0"/>
          <c:showVal val="0"/>
          <c:showCatName val="0"/>
          <c:showSerName val="0"/>
          <c:showPercent val="0"/>
          <c:showBubbleSize val="0"/>
        </c:dLbls>
        <c:gapWidth val="219"/>
        <c:overlap val="-27"/>
        <c:axId val="84653948"/>
        <c:axId val="84091661"/>
      </c:barChart>
      <c:lineChart>
        <c:grouping val="standard"/>
        <c:varyColors val="0"/>
        <c:ser>
          <c:idx val="1"/>
          <c:order val="1"/>
          <c:tx>
            <c:v>New orders</c:v>
          </c:tx>
          <c:spPr>
            <a:ln w="34920">
              <a:solidFill>
                <a:srgbClr val="ED7D31"/>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'MAIN-Analisys'!$B$26:$AA$26</c:f>
              <c:numCache>
                <c:formatCode>General</c:formatCode>
                <c:ptCount val="26"/>
                <c:pt idx="0">
                  <c:v>2</c:v>
                </c:pt>
                <c:pt idx="1">
                  <c:v>6</c:v>
                </c:pt>
                <c:pt idx="2">
                  <c:v>15</c:v>
                </c:pt>
                <c:pt idx="3">
                  <c:v>13</c:v>
                </c:pt>
                <c:pt idx="4">
                  <c:v>7</c:v>
                </c:pt>
                <c:pt idx="5">
                  <c:v>3</c:v>
                </c:pt>
                <c:pt idx="6">
                  <c:v>7</c:v>
                </c:pt>
                <c:pt idx="7">
                  <c:v>7</c:v>
                </c:pt>
                <c:pt idx="8">
                  <c:v>9</c:v>
                </c:pt>
                <c:pt idx="9">
                  <c:v>15</c:v>
                </c:pt>
                <c:pt idx="10">
                  <c:v>14</c:v>
                </c:pt>
                <c:pt idx="11">
                  <c:v>6</c:v>
                </c:pt>
                <c:pt idx="12">
                  <c:v>2</c:v>
                </c:pt>
                <c:pt idx="13">
                  <c:v>10</c:v>
                </c:pt>
                <c:pt idx="14">
                  <c:v>15</c:v>
                </c:pt>
                <c:pt idx="15">
                  <c:v>18</c:v>
                </c:pt>
                <c:pt idx="16">
                  <c:v>10</c:v>
                </c:pt>
                <c:pt idx="17">
                  <c:v>2</c:v>
                </c:pt>
                <c:pt idx="18">
                  <c:v>6</c:v>
                </c:pt>
                <c:pt idx="19">
                  <c:v>1</c:v>
                </c:pt>
              </c:numCache>
            </c:numRef>
          </c:val>
          <c:smooth val="0"/>
          <c:extLst>
            <c:ext xmlns:c16="http://schemas.microsoft.com/office/drawing/2014/chart" uri="{C3380CC4-5D6E-409C-BE32-E72D297353CC}">
              <c16:uniqueId val="{00000001-114C-44D9-B72D-12385A4161AA}"/>
            </c:ext>
          </c:extLst>
        </c:ser>
        <c:ser>
          <c:idx val="2"/>
          <c:order val="2"/>
          <c:tx>
            <c:v>Employment</c:v>
          </c:tx>
          <c:spPr>
            <a:ln w="34920">
              <a:solidFill>
                <a:srgbClr val="A5A5A5"/>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'MAIN-Analisys'!$B$46:$AA$46</c:f>
              <c:numCache>
                <c:formatCode>General</c:formatCode>
                <c:ptCount val="26"/>
                <c:pt idx="0">
                  <c:v>3</c:v>
                </c:pt>
                <c:pt idx="1">
                  <c:v>8</c:v>
                </c:pt>
                <c:pt idx="2">
                  <c:v>6</c:v>
                </c:pt>
                <c:pt idx="3">
                  <c:v>7</c:v>
                </c:pt>
                <c:pt idx="4">
                  <c:v>-5</c:v>
                </c:pt>
                <c:pt idx="5">
                  <c:v>-3</c:v>
                </c:pt>
                <c:pt idx="6">
                  <c:v>-4</c:v>
                </c:pt>
                <c:pt idx="7">
                  <c:v>0</c:v>
                </c:pt>
                <c:pt idx="8">
                  <c:v>6</c:v>
                </c:pt>
                <c:pt idx="9">
                  <c:v>3</c:v>
                </c:pt>
                <c:pt idx="10">
                  <c:v>10</c:v>
                </c:pt>
                <c:pt idx="11">
                  <c:v>8</c:v>
                </c:pt>
                <c:pt idx="12">
                  <c:v>5</c:v>
                </c:pt>
                <c:pt idx="13">
                  <c:v>11</c:v>
                </c:pt>
                <c:pt idx="14">
                  <c:v>10</c:v>
                </c:pt>
                <c:pt idx="15">
                  <c:v>6</c:v>
                </c:pt>
                <c:pt idx="16">
                  <c:v>7</c:v>
                </c:pt>
                <c:pt idx="17">
                  <c:v>-1</c:v>
                </c:pt>
                <c:pt idx="18">
                  <c:v>7</c:v>
                </c:pt>
                <c:pt idx="19">
                  <c:v>10</c:v>
                </c:pt>
              </c:numCache>
            </c:numRef>
          </c:val>
          <c:smooth val="0"/>
          <c:extLst>
            <c:ext xmlns:c16="http://schemas.microsoft.com/office/drawing/2014/chart" uri="{C3380CC4-5D6E-409C-BE32-E72D297353CC}">
              <c16:uniqueId val="{00000002-114C-44D9-B72D-12385A4161AA}"/>
            </c:ext>
          </c:extLst>
        </c:ser>
        <c:ser>
          <c:idx val="3"/>
          <c:order val="3"/>
          <c:tx>
            <c:v>Deliveries</c:v>
          </c:tx>
          <c:spPr>
            <a:ln w="34920">
              <a:solidFill>
                <a:srgbClr val="FFC000"/>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'MAIN-Analisys'!$B$66:$AA$66</c:f>
              <c:numCache>
                <c:formatCode>General</c:formatCode>
                <c:ptCount val="26"/>
                <c:pt idx="0">
                  <c:v>-13</c:v>
                </c:pt>
                <c:pt idx="1">
                  <c:v>-10</c:v>
                </c:pt>
                <c:pt idx="2">
                  <c:v>-12</c:v>
                </c:pt>
                <c:pt idx="3">
                  <c:v>-13</c:v>
                </c:pt>
                <c:pt idx="4">
                  <c:v>-5</c:v>
                </c:pt>
                <c:pt idx="5">
                  <c:v>-13</c:v>
                </c:pt>
                <c:pt idx="6">
                  <c:v>-15</c:v>
                </c:pt>
                <c:pt idx="7">
                  <c:v>-11</c:v>
                </c:pt>
                <c:pt idx="8">
                  <c:v>-14</c:v>
                </c:pt>
                <c:pt idx="9">
                  <c:v>-14</c:v>
                </c:pt>
                <c:pt idx="10">
                  <c:v>-9</c:v>
                </c:pt>
                <c:pt idx="11">
                  <c:v>-11</c:v>
                </c:pt>
                <c:pt idx="12">
                  <c:v>5</c:v>
                </c:pt>
                <c:pt idx="13">
                  <c:v>-15</c:v>
                </c:pt>
                <c:pt idx="14">
                  <c:v>-11</c:v>
                </c:pt>
                <c:pt idx="15">
                  <c:v>-8</c:v>
                </c:pt>
                <c:pt idx="16">
                  <c:v>-2</c:v>
                </c:pt>
                <c:pt idx="17">
                  <c:v>-15</c:v>
                </c:pt>
                <c:pt idx="18">
                  <c:v>-11</c:v>
                </c:pt>
                <c:pt idx="19">
                  <c:v>-7</c:v>
                </c:pt>
              </c:numCache>
            </c:numRef>
          </c:val>
          <c:smooth val="0"/>
          <c:extLst>
            <c:ext xmlns:c16="http://schemas.microsoft.com/office/drawing/2014/chart" uri="{C3380CC4-5D6E-409C-BE32-E72D297353CC}">
              <c16:uniqueId val="{00000003-114C-44D9-B72D-12385A4161AA}"/>
            </c:ext>
          </c:extLst>
        </c:ser>
        <c:ser>
          <c:idx val="4"/>
          <c:order val="4"/>
          <c:tx>
            <c:v>Inventory</c:v>
          </c:tx>
          <c:spPr>
            <a:ln w="34920">
              <a:solidFill>
                <a:srgbClr val="4472C4"/>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'MAIN-Analisys'!$B$86:$AA$86</c:f>
              <c:numCache>
                <c:formatCode>General</c:formatCode>
                <c:ptCount val="26"/>
                <c:pt idx="0">
                  <c:v>0</c:v>
                </c:pt>
                <c:pt idx="1">
                  <c:v>0</c:v>
                </c:pt>
                <c:pt idx="2">
                  <c:v>7</c:v>
                </c:pt>
                <c:pt idx="3">
                  <c:v>-4</c:v>
                </c:pt>
                <c:pt idx="4">
                  <c:v>-2</c:v>
                </c:pt>
                <c:pt idx="5">
                  <c:v>-5</c:v>
                </c:pt>
                <c:pt idx="6">
                  <c:v>0</c:v>
                </c:pt>
                <c:pt idx="7">
                  <c:v>8</c:v>
                </c:pt>
                <c:pt idx="8">
                  <c:v>0</c:v>
                </c:pt>
                <c:pt idx="9">
                  <c:v>0</c:v>
                </c:pt>
                <c:pt idx="10">
                  <c:v>2</c:v>
                </c:pt>
                <c:pt idx="11">
                  <c:v>-2</c:v>
                </c:pt>
                <c:pt idx="12">
                  <c:v>-3</c:v>
                </c:pt>
                <c:pt idx="13">
                  <c:v>8</c:v>
                </c:pt>
                <c:pt idx="14">
                  <c:v>-3</c:v>
                </c:pt>
                <c:pt idx="15">
                  <c:v>-4</c:v>
                </c:pt>
                <c:pt idx="16">
                  <c:v>4</c:v>
                </c:pt>
                <c:pt idx="17">
                  <c:v>-2</c:v>
                </c:pt>
                <c:pt idx="18">
                  <c:v>7</c:v>
                </c:pt>
                <c:pt idx="19">
                  <c:v>0</c:v>
                </c:pt>
              </c:numCache>
            </c:numRef>
          </c:val>
          <c:smooth val="0"/>
          <c:extLst>
            <c:ext xmlns:c16="http://schemas.microsoft.com/office/drawing/2014/chart" uri="{C3380CC4-5D6E-409C-BE32-E72D297353CC}">
              <c16:uniqueId val="{00000004-114C-44D9-B72D-12385A4161AA}"/>
            </c:ext>
          </c:extLst>
        </c:ser>
        <c:ser>
          <c:idx val="5"/>
          <c:order val="5"/>
          <c:tx>
            <c:v>Prices</c:v>
          </c:tx>
          <c:spPr>
            <a:ln w="34920">
              <a:solidFill>
                <a:srgbClr val="70AD47"/>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'MAIN-Analisys'!$B$106:$AA$106</c:f>
              <c:numCache>
                <c:formatCode>General</c:formatCode>
                <c:ptCount val="26"/>
                <c:pt idx="0">
                  <c:v>6</c:v>
                </c:pt>
                <c:pt idx="1">
                  <c:v>2</c:v>
                </c:pt>
                <c:pt idx="2">
                  <c:v>13</c:v>
                </c:pt>
                <c:pt idx="3">
                  <c:v>13</c:v>
                </c:pt>
                <c:pt idx="4">
                  <c:v>11</c:v>
                </c:pt>
                <c:pt idx="5">
                  <c:v>9</c:v>
                </c:pt>
                <c:pt idx="6">
                  <c:v>10</c:v>
                </c:pt>
                <c:pt idx="7">
                  <c:v>10</c:v>
                </c:pt>
                <c:pt idx="8">
                  <c:v>18</c:v>
                </c:pt>
                <c:pt idx="9">
                  <c:v>14</c:v>
                </c:pt>
                <c:pt idx="10">
                  <c:v>11</c:v>
                </c:pt>
                <c:pt idx="11">
                  <c:v>10</c:v>
                </c:pt>
                <c:pt idx="12">
                  <c:v>5</c:v>
                </c:pt>
                <c:pt idx="13">
                  <c:v>17</c:v>
                </c:pt>
                <c:pt idx="14">
                  <c:v>11</c:v>
                </c:pt>
                <c:pt idx="15">
                  <c:v>17</c:v>
                </c:pt>
                <c:pt idx="16">
                  <c:v>8</c:v>
                </c:pt>
                <c:pt idx="17">
                  <c:v>12</c:v>
                </c:pt>
                <c:pt idx="18">
                  <c:v>9</c:v>
                </c:pt>
                <c:pt idx="19">
                  <c:v>15</c:v>
                </c:pt>
              </c:numCache>
            </c:numRef>
          </c:val>
          <c:smooth val="0"/>
          <c:extLst>
            <c:ext xmlns:c16="http://schemas.microsoft.com/office/drawing/2014/chart" uri="{C3380CC4-5D6E-409C-BE32-E72D297353CC}">
              <c16:uniqueId val="{00000005-114C-44D9-B72D-12385A4161AA}"/>
            </c:ext>
          </c:extLst>
        </c:ser>
        <c:ser>
          <c:idx val="6"/>
          <c:order val="6"/>
          <c:tx>
            <c:v>Business Activity</c:v>
          </c:tx>
          <c:spPr>
            <a:ln>
              <a:solidFill>
                <a:schemeClr val="bg1"/>
              </a:solidFill>
            </a:ln>
          </c:spPr>
          <c:marker>
            <c:symbol val="none"/>
          </c:marker>
          <c:val>
            <c:numRef>
              <c:f>'MAIN-Analisys'!$B$126:$U$126</c:f>
              <c:numCache>
                <c:formatCode>General</c:formatCode>
                <c:ptCount val="20"/>
                <c:pt idx="0">
                  <c:v>5</c:v>
                </c:pt>
                <c:pt idx="1">
                  <c:v>11</c:v>
                </c:pt>
                <c:pt idx="2">
                  <c:v>16</c:v>
                </c:pt>
                <c:pt idx="3">
                  <c:v>14</c:v>
                </c:pt>
                <c:pt idx="4">
                  <c:v>9</c:v>
                </c:pt>
                <c:pt idx="5">
                  <c:v>0</c:v>
                </c:pt>
                <c:pt idx="6">
                  <c:v>11</c:v>
                </c:pt>
                <c:pt idx="7">
                  <c:v>7</c:v>
                </c:pt>
                <c:pt idx="8">
                  <c:v>5</c:v>
                </c:pt>
                <c:pt idx="9">
                  <c:v>10</c:v>
                </c:pt>
                <c:pt idx="10">
                  <c:v>11</c:v>
                </c:pt>
                <c:pt idx="11">
                  <c:v>9</c:v>
                </c:pt>
                <c:pt idx="12">
                  <c:v>4</c:v>
                </c:pt>
                <c:pt idx="13">
                  <c:v>1</c:v>
                </c:pt>
                <c:pt idx="14">
                  <c:v>14</c:v>
                </c:pt>
                <c:pt idx="15">
                  <c:v>13</c:v>
                </c:pt>
                <c:pt idx="16">
                  <c:v>14</c:v>
                </c:pt>
                <c:pt idx="17">
                  <c:v>-3</c:v>
                </c:pt>
                <c:pt idx="18">
                  <c:v>11</c:v>
                </c:pt>
                <c:pt idx="19">
                  <c:v>4</c:v>
                </c:pt>
              </c:numCache>
            </c:numRef>
          </c:val>
          <c:smooth val="0"/>
          <c:extLst>
            <c:ext xmlns:c16="http://schemas.microsoft.com/office/drawing/2014/chart" uri="{C3380CC4-5D6E-409C-BE32-E72D297353CC}">
              <c16:uniqueId val="{00000001-3D26-4EE3-B79A-648C9C0A57A8}"/>
            </c:ext>
          </c:extLst>
        </c:ser>
        <c:dLbls>
          <c:showLegendKey val="0"/>
          <c:showVal val="0"/>
          <c:showCatName val="0"/>
          <c:showSerName val="0"/>
          <c:showPercent val="0"/>
          <c:showBubbleSize val="0"/>
        </c:dLbls>
        <c:hiLowLines>
          <c:spPr>
            <a:ln>
              <a:noFill/>
            </a:ln>
          </c:spPr>
        </c:hiLowLines>
        <c:marker val="1"/>
        <c:smooth val="0"/>
        <c:axId val="84653948"/>
        <c:axId val="84091661"/>
      </c:lineChart>
      <c:catAx>
        <c:axId val="84653948"/>
        <c:scaling>
          <c:orientation val="minMax"/>
        </c:scaling>
        <c:delete val="0"/>
        <c:axPos val="b"/>
        <c:numFmt formatCode="General" sourceLinked="1"/>
        <c:majorTickMark val="none"/>
        <c:minorTickMark val="none"/>
        <c:tickLblPos val="nextTo"/>
        <c:spPr>
          <a:ln w="12600">
            <a:solidFill>
              <a:srgbClr val="F2F2F2">
                <a:alpha val="54000"/>
              </a:srgbClr>
            </a:solidFill>
            <a:round/>
          </a:ln>
        </c:spPr>
        <c:txPr>
          <a:bodyPr/>
          <a:lstStyle/>
          <a:p>
            <a:pPr>
              <a:defRPr sz="900" b="0" strike="noStrike" spc="-1">
                <a:solidFill>
                  <a:srgbClr val="D9D9D9"/>
                </a:solidFill>
                <a:latin typeface="Calibri"/>
              </a:defRPr>
            </a:pPr>
            <a:endParaRPr lang="bg-BG"/>
          </a:p>
        </c:txPr>
        <c:crossAx val="84091661"/>
        <c:crosses val="autoZero"/>
        <c:auto val="1"/>
        <c:lblAlgn val="ctr"/>
        <c:lblOffset val="100"/>
        <c:noMultiLvlLbl val="1"/>
      </c:catAx>
      <c:valAx>
        <c:axId val="84091661"/>
        <c:scaling>
          <c:orientation val="minMax"/>
        </c:scaling>
        <c:delete val="0"/>
        <c:axPos val="l"/>
        <c:majorGridlines>
          <c:spPr>
            <a:ln w="9360">
              <a:solidFill>
                <a:srgbClr val="F2F2F2">
                  <a:alpha val="10000"/>
                </a:srgbClr>
              </a:solidFill>
              <a:round/>
            </a:ln>
          </c:spPr>
        </c:majorGridlines>
        <c:numFmt formatCode="General" sourceLinked="0"/>
        <c:majorTickMark val="none"/>
        <c:minorTickMark val="none"/>
        <c:tickLblPos val="nextTo"/>
        <c:spPr>
          <a:ln w="6480">
            <a:noFill/>
          </a:ln>
        </c:spPr>
        <c:txPr>
          <a:bodyPr/>
          <a:lstStyle/>
          <a:p>
            <a:pPr>
              <a:defRPr sz="900" b="0" strike="noStrike" spc="-1">
                <a:solidFill>
                  <a:srgbClr val="D9D9D9"/>
                </a:solidFill>
                <a:latin typeface="Calibri"/>
              </a:defRPr>
            </a:pPr>
            <a:endParaRPr lang="bg-BG"/>
          </a:p>
        </c:txPr>
        <c:crossAx val="84653948"/>
        <c:crosses val="autoZero"/>
        <c:crossBetween val="between"/>
      </c:valAx>
      <c:spPr>
        <a:noFill/>
        <a:ln>
          <a:noFill/>
        </a:ln>
      </c:spPr>
    </c:plotArea>
    <c:legend>
      <c:legendPos val="b"/>
      <c:overlay val="0"/>
      <c:spPr>
        <a:noFill/>
        <a:ln>
          <a:noFill/>
        </a:ln>
      </c:spPr>
      <c:txPr>
        <a:bodyPr/>
        <a:lstStyle/>
        <a:p>
          <a:pPr>
            <a:defRPr sz="900" b="0" strike="noStrike" spc="-1">
              <a:solidFill>
                <a:srgbClr val="D9D9D9"/>
              </a:solidFill>
              <a:latin typeface="Calibri"/>
            </a:defRPr>
          </a:pPr>
          <a:endParaRPr lang="bg-BG"/>
        </a:p>
      </c:txPr>
    </c:legend>
    <c:plotVisOnly val="1"/>
    <c:dispBlanksAs val="gap"/>
    <c:showDLblsOverMax val="1"/>
  </c:chart>
  <c:spPr>
    <a:gradFill>
      <a:gsLst>
        <a:gs pos="0">
          <a:srgbClr val="595959"/>
        </a:gs>
        <a:gs pos="100000">
          <a:srgbClr val="262626"/>
        </a:gs>
      </a:gsLst>
      <a:path path="circle"/>
    </a:gradFill>
    <a:ln>
      <a:noFill/>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600" b="1" strike="noStrike" spc="97">
                <a:solidFill>
                  <a:srgbClr val="F2F2F2"/>
                </a:solidFill>
                <a:latin typeface="Calibri"/>
              </a:defRPr>
            </a:pPr>
            <a:r>
              <a:rPr lang="en-US" sz="1600" b="1" strike="noStrike" spc="97">
                <a:solidFill>
                  <a:srgbClr val="F2F2F2"/>
                </a:solidFill>
                <a:latin typeface="Calibri"/>
              </a:rPr>
              <a:t>Finance &amp; Insurance</a:t>
            </a:r>
          </a:p>
        </c:rich>
      </c:tx>
      <c:overlay val="0"/>
      <c:spPr>
        <a:noFill/>
        <a:ln>
          <a:noFill/>
        </a:ln>
      </c:spPr>
    </c:title>
    <c:autoTitleDeleted val="0"/>
    <c:plotArea>
      <c:layout/>
      <c:barChart>
        <c:barDir val="col"/>
        <c:grouping val="clustered"/>
        <c:varyColors val="0"/>
        <c:ser>
          <c:idx val="0"/>
          <c:order val="0"/>
          <c:tx>
            <c:v>Main PMI</c:v>
          </c:tx>
          <c:spPr>
            <a:gradFill>
              <a:gsLst>
                <a:gs pos="0">
                  <a:srgbClr val="71A6DA"/>
                </a:gs>
                <a:gs pos="100000">
                  <a:srgbClr val="549ADA"/>
                </a:gs>
              </a:gsLst>
              <a:lin ang="5400000"/>
            </a:gradFill>
            <a:ln>
              <a:noFill/>
            </a:ln>
          </c:spPr>
          <c:invertIfNegative val="0"/>
          <c:dLbls>
            <c:spPr>
              <a:noFill/>
              <a:ln>
                <a:noFill/>
              </a:ln>
              <a:effectLst/>
            </c:spPr>
            <c:txPr>
              <a:bodyPr/>
              <a:lstStyle/>
              <a:p>
                <a:pPr>
                  <a:defRPr sz="1000" b="0" strike="noStrike" spc="-1">
                    <a:solidFill>
                      <a:srgbClr val="000000"/>
                    </a:solidFill>
                    <a:latin typeface="Calibri"/>
                  </a:defRPr>
                </a:pPr>
                <a:endParaRPr lang="bg-BG"/>
              </a:p>
            </c:txPr>
            <c:dLblPos val="outEnd"/>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'MAIN-Analisys'!$B$7:$AA$7</c:f>
              <c:numCache>
                <c:formatCode>General</c:formatCode>
                <c:ptCount val="26"/>
                <c:pt idx="0">
                  <c:v>5</c:v>
                </c:pt>
                <c:pt idx="1">
                  <c:v>4</c:v>
                </c:pt>
                <c:pt idx="2">
                  <c:v>10</c:v>
                </c:pt>
                <c:pt idx="3">
                  <c:v>5</c:v>
                </c:pt>
                <c:pt idx="4">
                  <c:v>9</c:v>
                </c:pt>
                <c:pt idx="5">
                  <c:v>11</c:v>
                </c:pt>
                <c:pt idx="6">
                  <c:v>7</c:v>
                </c:pt>
                <c:pt idx="7">
                  <c:v>8</c:v>
                </c:pt>
                <c:pt idx="8">
                  <c:v>7</c:v>
                </c:pt>
                <c:pt idx="9">
                  <c:v>11</c:v>
                </c:pt>
                <c:pt idx="10">
                  <c:v>3</c:v>
                </c:pt>
                <c:pt idx="11">
                  <c:v>2</c:v>
                </c:pt>
                <c:pt idx="12">
                  <c:v>3</c:v>
                </c:pt>
                <c:pt idx="13">
                  <c:v>1</c:v>
                </c:pt>
                <c:pt idx="14">
                  <c:v>4</c:v>
                </c:pt>
                <c:pt idx="15">
                  <c:v>4</c:v>
                </c:pt>
                <c:pt idx="16">
                  <c:v>4</c:v>
                </c:pt>
                <c:pt idx="17">
                  <c:v>6</c:v>
                </c:pt>
                <c:pt idx="18">
                  <c:v>6</c:v>
                </c:pt>
                <c:pt idx="19">
                  <c:v>4</c:v>
                </c:pt>
              </c:numCache>
            </c:numRef>
          </c:val>
          <c:extLst>
            <c:ext xmlns:c16="http://schemas.microsoft.com/office/drawing/2014/chart" uri="{C3380CC4-5D6E-409C-BE32-E72D297353CC}">
              <c16:uniqueId val="{00000000-6B38-45D7-AB29-ECDC2D6903C8}"/>
            </c:ext>
          </c:extLst>
        </c:ser>
        <c:dLbls>
          <c:showLegendKey val="0"/>
          <c:showVal val="0"/>
          <c:showCatName val="0"/>
          <c:showSerName val="0"/>
          <c:showPercent val="0"/>
          <c:showBubbleSize val="0"/>
        </c:dLbls>
        <c:gapWidth val="219"/>
        <c:overlap val="-27"/>
        <c:axId val="10558463"/>
        <c:axId val="5714993"/>
      </c:barChart>
      <c:lineChart>
        <c:grouping val="standard"/>
        <c:varyColors val="0"/>
        <c:ser>
          <c:idx val="1"/>
          <c:order val="1"/>
          <c:tx>
            <c:v>New orders</c:v>
          </c:tx>
          <c:spPr>
            <a:ln w="34920">
              <a:solidFill>
                <a:srgbClr val="ED7D31"/>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'MAIN-Analisys'!$B$27:$AA$27</c:f>
              <c:numCache>
                <c:formatCode>General</c:formatCode>
                <c:ptCount val="26"/>
                <c:pt idx="0">
                  <c:v>4</c:v>
                </c:pt>
                <c:pt idx="1">
                  <c:v>2</c:v>
                </c:pt>
                <c:pt idx="2">
                  <c:v>9</c:v>
                </c:pt>
                <c:pt idx="3">
                  <c:v>9</c:v>
                </c:pt>
                <c:pt idx="4">
                  <c:v>5</c:v>
                </c:pt>
                <c:pt idx="5">
                  <c:v>7</c:v>
                </c:pt>
                <c:pt idx="6">
                  <c:v>2</c:v>
                </c:pt>
                <c:pt idx="7">
                  <c:v>4</c:v>
                </c:pt>
                <c:pt idx="8">
                  <c:v>4</c:v>
                </c:pt>
                <c:pt idx="9">
                  <c:v>16</c:v>
                </c:pt>
                <c:pt idx="10">
                  <c:v>5</c:v>
                </c:pt>
                <c:pt idx="11">
                  <c:v>5</c:v>
                </c:pt>
                <c:pt idx="12">
                  <c:v>5</c:v>
                </c:pt>
                <c:pt idx="13">
                  <c:v>3</c:v>
                </c:pt>
                <c:pt idx="14">
                  <c:v>3</c:v>
                </c:pt>
                <c:pt idx="15">
                  <c:v>5</c:v>
                </c:pt>
                <c:pt idx="16">
                  <c:v>4</c:v>
                </c:pt>
                <c:pt idx="17">
                  <c:v>3</c:v>
                </c:pt>
                <c:pt idx="18">
                  <c:v>5</c:v>
                </c:pt>
                <c:pt idx="19">
                  <c:v>3</c:v>
                </c:pt>
              </c:numCache>
            </c:numRef>
          </c:val>
          <c:smooth val="0"/>
          <c:extLst>
            <c:ext xmlns:c16="http://schemas.microsoft.com/office/drawing/2014/chart" uri="{C3380CC4-5D6E-409C-BE32-E72D297353CC}">
              <c16:uniqueId val="{00000001-6B38-45D7-AB29-ECDC2D6903C8}"/>
            </c:ext>
          </c:extLst>
        </c:ser>
        <c:ser>
          <c:idx val="2"/>
          <c:order val="2"/>
          <c:tx>
            <c:v>Employment</c:v>
          </c:tx>
          <c:spPr>
            <a:ln w="34920">
              <a:solidFill>
                <a:srgbClr val="A5A5A5"/>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'MAIN-Analisys'!$B$47:$AA$47</c:f>
              <c:numCache>
                <c:formatCode>General</c:formatCode>
                <c:ptCount val="26"/>
                <c:pt idx="0">
                  <c:v>-1</c:v>
                </c:pt>
                <c:pt idx="1">
                  <c:v>-1</c:v>
                </c:pt>
                <c:pt idx="2">
                  <c:v>2</c:v>
                </c:pt>
                <c:pt idx="3">
                  <c:v>0</c:v>
                </c:pt>
                <c:pt idx="4">
                  <c:v>1</c:v>
                </c:pt>
                <c:pt idx="5">
                  <c:v>5</c:v>
                </c:pt>
                <c:pt idx="6">
                  <c:v>1</c:v>
                </c:pt>
                <c:pt idx="7">
                  <c:v>6</c:v>
                </c:pt>
                <c:pt idx="8">
                  <c:v>7</c:v>
                </c:pt>
                <c:pt idx="9">
                  <c:v>6</c:v>
                </c:pt>
                <c:pt idx="10">
                  <c:v>7</c:v>
                </c:pt>
                <c:pt idx="11">
                  <c:v>1</c:v>
                </c:pt>
                <c:pt idx="12">
                  <c:v>-3</c:v>
                </c:pt>
                <c:pt idx="13">
                  <c:v>8</c:v>
                </c:pt>
                <c:pt idx="14">
                  <c:v>2</c:v>
                </c:pt>
                <c:pt idx="15">
                  <c:v>3</c:v>
                </c:pt>
                <c:pt idx="16">
                  <c:v>-2</c:v>
                </c:pt>
                <c:pt idx="17">
                  <c:v>-3</c:v>
                </c:pt>
                <c:pt idx="18">
                  <c:v>-2</c:v>
                </c:pt>
                <c:pt idx="19">
                  <c:v>5</c:v>
                </c:pt>
              </c:numCache>
            </c:numRef>
          </c:val>
          <c:smooth val="0"/>
          <c:extLst>
            <c:ext xmlns:c16="http://schemas.microsoft.com/office/drawing/2014/chart" uri="{C3380CC4-5D6E-409C-BE32-E72D297353CC}">
              <c16:uniqueId val="{00000002-6B38-45D7-AB29-ECDC2D6903C8}"/>
            </c:ext>
          </c:extLst>
        </c:ser>
        <c:ser>
          <c:idx val="3"/>
          <c:order val="3"/>
          <c:tx>
            <c:v>Deliveries</c:v>
          </c:tx>
          <c:spPr>
            <a:ln w="34920">
              <a:solidFill>
                <a:srgbClr val="FFC000"/>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'MAIN-Analisys'!$B$67:$AA$67</c:f>
              <c:numCache>
                <c:formatCode>General</c:formatCode>
                <c:ptCount val="26"/>
                <c:pt idx="0">
                  <c:v>-3</c:v>
                </c:pt>
                <c:pt idx="1">
                  <c:v>-1</c:v>
                </c:pt>
                <c:pt idx="2">
                  <c:v>0</c:v>
                </c:pt>
                <c:pt idx="3">
                  <c:v>0</c:v>
                </c:pt>
                <c:pt idx="4">
                  <c:v>-2</c:v>
                </c:pt>
                <c:pt idx="5">
                  <c:v>0</c:v>
                </c:pt>
                <c:pt idx="6">
                  <c:v>-1</c:v>
                </c:pt>
                <c:pt idx="7">
                  <c:v>1</c:v>
                </c:pt>
                <c:pt idx="8">
                  <c:v>-7</c:v>
                </c:pt>
                <c:pt idx="9">
                  <c:v>-3</c:v>
                </c:pt>
                <c:pt idx="10">
                  <c:v>-1</c:v>
                </c:pt>
                <c:pt idx="11">
                  <c:v>-1</c:v>
                </c:pt>
                <c:pt idx="12">
                  <c:v>1</c:v>
                </c:pt>
                <c:pt idx="13">
                  <c:v>-1</c:v>
                </c:pt>
                <c:pt idx="14">
                  <c:v>-1</c:v>
                </c:pt>
                <c:pt idx="15">
                  <c:v>-1</c:v>
                </c:pt>
                <c:pt idx="16">
                  <c:v>-1</c:v>
                </c:pt>
                <c:pt idx="17">
                  <c:v>-3</c:v>
                </c:pt>
                <c:pt idx="18">
                  <c:v>-4</c:v>
                </c:pt>
                <c:pt idx="19">
                  <c:v>-1</c:v>
                </c:pt>
              </c:numCache>
            </c:numRef>
          </c:val>
          <c:smooth val="0"/>
          <c:extLst>
            <c:ext xmlns:c16="http://schemas.microsoft.com/office/drawing/2014/chart" uri="{C3380CC4-5D6E-409C-BE32-E72D297353CC}">
              <c16:uniqueId val="{00000003-6B38-45D7-AB29-ECDC2D6903C8}"/>
            </c:ext>
          </c:extLst>
        </c:ser>
        <c:ser>
          <c:idx val="4"/>
          <c:order val="4"/>
          <c:tx>
            <c:v>Inventory</c:v>
          </c:tx>
          <c:spPr>
            <a:ln w="34920">
              <a:solidFill>
                <a:srgbClr val="4472C4"/>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'MAIN-Analisys'!$B$87:$AA$87</c:f>
              <c:numCache>
                <c:formatCode>General</c:formatCode>
                <c:ptCount val="26"/>
                <c:pt idx="0">
                  <c:v>5</c:v>
                </c:pt>
                <c:pt idx="1">
                  <c:v>4</c:v>
                </c:pt>
                <c:pt idx="2">
                  <c:v>2</c:v>
                </c:pt>
                <c:pt idx="3">
                  <c:v>6</c:v>
                </c:pt>
                <c:pt idx="4">
                  <c:v>0</c:v>
                </c:pt>
                <c:pt idx="5">
                  <c:v>0</c:v>
                </c:pt>
                <c:pt idx="6">
                  <c:v>0</c:v>
                </c:pt>
                <c:pt idx="7">
                  <c:v>9</c:v>
                </c:pt>
                <c:pt idx="8">
                  <c:v>2</c:v>
                </c:pt>
                <c:pt idx="9">
                  <c:v>2</c:v>
                </c:pt>
                <c:pt idx="10">
                  <c:v>0</c:v>
                </c:pt>
                <c:pt idx="11">
                  <c:v>7</c:v>
                </c:pt>
                <c:pt idx="12">
                  <c:v>0</c:v>
                </c:pt>
                <c:pt idx="13">
                  <c:v>0</c:v>
                </c:pt>
                <c:pt idx="14">
                  <c:v>0</c:v>
                </c:pt>
                <c:pt idx="15">
                  <c:v>6</c:v>
                </c:pt>
                <c:pt idx="16">
                  <c:v>-5</c:v>
                </c:pt>
                <c:pt idx="17">
                  <c:v>0</c:v>
                </c:pt>
                <c:pt idx="18">
                  <c:v>5</c:v>
                </c:pt>
                <c:pt idx="19">
                  <c:v>0</c:v>
                </c:pt>
              </c:numCache>
            </c:numRef>
          </c:val>
          <c:smooth val="0"/>
          <c:extLst>
            <c:ext xmlns:c16="http://schemas.microsoft.com/office/drawing/2014/chart" uri="{C3380CC4-5D6E-409C-BE32-E72D297353CC}">
              <c16:uniqueId val="{00000004-6B38-45D7-AB29-ECDC2D6903C8}"/>
            </c:ext>
          </c:extLst>
        </c:ser>
        <c:ser>
          <c:idx val="5"/>
          <c:order val="5"/>
          <c:tx>
            <c:v>Prices</c:v>
          </c:tx>
          <c:spPr>
            <a:ln w="34920">
              <a:solidFill>
                <a:srgbClr val="70AD47"/>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'MAIN-Analisys'!$B$107:$AA$107</c:f>
              <c:numCache>
                <c:formatCode>General</c:formatCode>
                <c:ptCount val="26"/>
                <c:pt idx="0">
                  <c:v>3</c:v>
                </c:pt>
                <c:pt idx="1">
                  <c:v>5</c:v>
                </c:pt>
                <c:pt idx="2">
                  <c:v>3</c:v>
                </c:pt>
                <c:pt idx="3">
                  <c:v>9</c:v>
                </c:pt>
                <c:pt idx="4">
                  <c:v>7</c:v>
                </c:pt>
                <c:pt idx="5">
                  <c:v>2</c:v>
                </c:pt>
                <c:pt idx="6">
                  <c:v>6</c:v>
                </c:pt>
                <c:pt idx="7">
                  <c:v>9</c:v>
                </c:pt>
                <c:pt idx="8">
                  <c:v>3</c:v>
                </c:pt>
                <c:pt idx="9">
                  <c:v>8</c:v>
                </c:pt>
                <c:pt idx="10">
                  <c:v>8</c:v>
                </c:pt>
                <c:pt idx="11">
                  <c:v>9</c:v>
                </c:pt>
                <c:pt idx="12">
                  <c:v>1</c:v>
                </c:pt>
                <c:pt idx="13">
                  <c:v>4</c:v>
                </c:pt>
                <c:pt idx="14">
                  <c:v>3</c:v>
                </c:pt>
                <c:pt idx="15">
                  <c:v>4</c:v>
                </c:pt>
                <c:pt idx="16">
                  <c:v>4</c:v>
                </c:pt>
                <c:pt idx="17">
                  <c:v>6</c:v>
                </c:pt>
                <c:pt idx="18">
                  <c:v>7</c:v>
                </c:pt>
                <c:pt idx="19">
                  <c:v>1</c:v>
                </c:pt>
              </c:numCache>
            </c:numRef>
          </c:val>
          <c:smooth val="0"/>
          <c:extLst>
            <c:ext xmlns:c16="http://schemas.microsoft.com/office/drawing/2014/chart" uri="{C3380CC4-5D6E-409C-BE32-E72D297353CC}">
              <c16:uniqueId val="{00000005-6B38-45D7-AB29-ECDC2D6903C8}"/>
            </c:ext>
          </c:extLst>
        </c:ser>
        <c:ser>
          <c:idx val="6"/>
          <c:order val="6"/>
          <c:tx>
            <c:v>Business Activity</c:v>
          </c:tx>
          <c:spPr>
            <a:ln>
              <a:solidFill>
                <a:schemeClr val="bg1"/>
              </a:solidFill>
            </a:ln>
          </c:spPr>
          <c:marker>
            <c:symbol val="none"/>
          </c:marker>
          <c:val>
            <c:numRef>
              <c:f>'MAIN-Analisys'!$B$127:$U$127</c:f>
              <c:numCache>
                <c:formatCode>General</c:formatCode>
                <c:ptCount val="20"/>
                <c:pt idx="0">
                  <c:v>4</c:v>
                </c:pt>
                <c:pt idx="1">
                  <c:v>7</c:v>
                </c:pt>
                <c:pt idx="2">
                  <c:v>8</c:v>
                </c:pt>
                <c:pt idx="3">
                  <c:v>9</c:v>
                </c:pt>
                <c:pt idx="4">
                  <c:v>3</c:v>
                </c:pt>
                <c:pt idx="5">
                  <c:v>9</c:v>
                </c:pt>
                <c:pt idx="6">
                  <c:v>4</c:v>
                </c:pt>
                <c:pt idx="7">
                  <c:v>9</c:v>
                </c:pt>
                <c:pt idx="8">
                  <c:v>7</c:v>
                </c:pt>
                <c:pt idx="9">
                  <c:v>15</c:v>
                </c:pt>
                <c:pt idx="10">
                  <c:v>5</c:v>
                </c:pt>
                <c:pt idx="11">
                  <c:v>3</c:v>
                </c:pt>
                <c:pt idx="12">
                  <c:v>5</c:v>
                </c:pt>
                <c:pt idx="13">
                  <c:v>8</c:v>
                </c:pt>
                <c:pt idx="14">
                  <c:v>7</c:v>
                </c:pt>
                <c:pt idx="15">
                  <c:v>5</c:v>
                </c:pt>
                <c:pt idx="16">
                  <c:v>6</c:v>
                </c:pt>
                <c:pt idx="17">
                  <c:v>2</c:v>
                </c:pt>
                <c:pt idx="18">
                  <c:v>8</c:v>
                </c:pt>
                <c:pt idx="19">
                  <c:v>3</c:v>
                </c:pt>
              </c:numCache>
            </c:numRef>
          </c:val>
          <c:smooth val="0"/>
          <c:extLst>
            <c:ext xmlns:c16="http://schemas.microsoft.com/office/drawing/2014/chart" uri="{C3380CC4-5D6E-409C-BE32-E72D297353CC}">
              <c16:uniqueId val="{00000001-90D1-4ED0-97F6-34CD2AB83C1B}"/>
            </c:ext>
          </c:extLst>
        </c:ser>
        <c:dLbls>
          <c:showLegendKey val="0"/>
          <c:showVal val="0"/>
          <c:showCatName val="0"/>
          <c:showSerName val="0"/>
          <c:showPercent val="0"/>
          <c:showBubbleSize val="0"/>
        </c:dLbls>
        <c:hiLowLines>
          <c:spPr>
            <a:ln>
              <a:noFill/>
            </a:ln>
          </c:spPr>
        </c:hiLowLines>
        <c:marker val="1"/>
        <c:smooth val="0"/>
        <c:axId val="10558463"/>
        <c:axId val="5714993"/>
      </c:lineChart>
      <c:catAx>
        <c:axId val="10558463"/>
        <c:scaling>
          <c:orientation val="minMax"/>
        </c:scaling>
        <c:delete val="0"/>
        <c:axPos val="b"/>
        <c:numFmt formatCode="General" sourceLinked="1"/>
        <c:majorTickMark val="none"/>
        <c:minorTickMark val="none"/>
        <c:tickLblPos val="nextTo"/>
        <c:spPr>
          <a:ln w="12600">
            <a:solidFill>
              <a:srgbClr val="F2F2F2">
                <a:alpha val="54000"/>
              </a:srgbClr>
            </a:solidFill>
            <a:round/>
          </a:ln>
        </c:spPr>
        <c:txPr>
          <a:bodyPr/>
          <a:lstStyle/>
          <a:p>
            <a:pPr>
              <a:defRPr sz="900" b="0" strike="noStrike" spc="-1">
                <a:solidFill>
                  <a:srgbClr val="D9D9D9"/>
                </a:solidFill>
                <a:latin typeface="Calibri"/>
              </a:defRPr>
            </a:pPr>
            <a:endParaRPr lang="bg-BG"/>
          </a:p>
        </c:txPr>
        <c:crossAx val="5714993"/>
        <c:crosses val="autoZero"/>
        <c:auto val="1"/>
        <c:lblAlgn val="ctr"/>
        <c:lblOffset val="100"/>
        <c:noMultiLvlLbl val="1"/>
      </c:catAx>
      <c:valAx>
        <c:axId val="5714993"/>
        <c:scaling>
          <c:orientation val="minMax"/>
        </c:scaling>
        <c:delete val="0"/>
        <c:axPos val="l"/>
        <c:majorGridlines>
          <c:spPr>
            <a:ln w="9360">
              <a:solidFill>
                <a:srgbClr val="F2F2F2">
                  <a:alpha val="10000"/>
                </a:srgbClr>
              </a:solidFill>
              <a:round/>
            </a:ln>
          </c:spPr>
        </c:majorGridlines>
        <c:numFmt formatCode="General" sourceLinked="0"/>
        <c:majorTickMark val="none"/>
        <c:minorTickMark val="none"/>
        <c:tickLblPos val="nextTo"/>
        <c:spPr>
          <a:ln w="6480">
            <a:noFill/>
          </a:ln>
        </c:spPr>
        <c:txPr>
          <a:bodyPr/>
          <a:lstStyle/>
          <a:p>
            <a:pPr>
              <a:defRPr sz="900" b="0" strike="noStrike" spc="-1">
                <a:solidFill>
                  <a:srgbClr val="D9D9D9"/>
                </a:solidFill>
                <a:latin typeface="Calibri"/>
              </a:defRPr>
            </a:pPr>
            <a:endParaRPr lang="bg-BG"/>
          </a:p>
        </c:txPr>
        <c:crossAx val="10558463"/>
        <c:crosses val="autoZero"/>
        <c:crossBetween val="between"/>
      </c:valAx>
      <c:spPr>
        <a:noFill/>
        <a:ln>
          <a:noFill/>
        </a:ln>
      </c:spPr>
    </c:plotArea>
    <c:legend>
      <c:legendPos val="b"/>
      <c:overlay val="0"/>
      <c:spPr>
        <a:noFill/>
        <a:ln>
          <a:noFill/>
        </a:ln>
      </c:spPr>
      <c:txPr>
        <a:bodyPr/>
        <a:lstStyle/>
        <a:p>
          <a:pPr>
            <a:defRPr sz="900" b="0" strike="noStrike" spc="-1">
              <a:solidFill>
                <a:srgbClr val="D9D9D9"/>
              </a:solidFill>
              <a:latin typeface="Calibri"/>
            </a:defRPr>
          </a:pPr>
          <a:endParaRPr lang="bg-BG"/>
        </a:p>
      </c:txPr>
    </c:legend>
    <c:plotVisOnly val="1"/>
    <c:dispBlanksAs val="gap"/>
    <c:showDLblsOverMax val="1"/>
  </c:chart>
  <c:spPr>
    <a:gradFill>
      <a:gsLst>
        <a:gs pos="0">
          <a:srgbClr val="595959"/>
        </a:gs>
        <a:gs pos="100000">
          <a:srgbClr val="262626"/>
        </a:gs>
      </a:gsLst>
      <a:path path="circle"/>
    </a:gradFill>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600" b="1" strike="noStrike" spc="97">
                <a:solidFill>
                  <a:srgbClr val="F2F2F2"/>
                </a:solidFill>
                <a:latin typeface="Calibri"/>
              </a:defRPr>
            </a:pPr>
            <a:r>
              <a:rPr lang="en-US" sz="1600" b="1" strike="noStrike" spc="97">
                <a:solidFill>
                  <a:srgbClr val="F2F2F2"/>
                </a:solidFill>
                <a:latin typeface="Calibri"/>
              </a:rPr>
              <a:t>Utilities</a:t>
            </a:r>
          </a:p>
        </c:rich>
      </c:tx>
      <c:overlay val="0"/>
      <c:spPr>
        <a:noFill/>
        <a:ln>
          <a:noFill/>
        </a:ln>
      </c:spPr>
    </c:title>
    <c:autoTitleDeleted val="0"/>
    <c:plotArea>
      <c:layout/>
      <c:barChart>
        <c:barDir val="col"/>
        <c:grouping val="clustered"/>
        <c:varyColors val="0"/>
        <c:ser>
          <c:idx val="0"/>
          <c:order val="0"/>
          <c:tx>
            <c:v>Main PMI</c:v>
          </c:tx>
          <c:spPr>
            <a:gradFill>
              <a:gsLst>
                <a:gs pos="0">
                  <a:srgbClr val="71A6DA"/>
                </a:gs>
                <a:gs pos="100000">
                  <a:srgbClr val="549ADA"/>
                </a:gs>
              </a:gsLst>
              <a:lin ang="5400000"/>
            </a:gradFill>
            <a:ln>
              <a:noFill/>
            </a:ln>
          </c:spPr>
          <c:invertIfNegative val="0"/>
          <c:dLbls>
            <c:spPr>
              <a:noFill/>
              <a:ln>
                <a:noFill/>
              </a:ln>
              <a:effectLst/>
            </c:spPr>
            <c:txPr>
              <a:bodyPr/>
              <a:lstStyle/>
              <a:p>
                <a:pPr>
                  <a:defRPr sz="1000" b="0" strike="noStrike" spc="-1">
                    <a:solidFill>
                      <a:srgbClr val="000000"/>
                    </a:solidFill>
                    <a:latin typeface="Calibri"/>
                  </a:defRPr>
                </a:pPr>
                <a:endParaRPr lang="bg-BG"/>
              </a:p>
            </c:txPr>
            <c:dLblPos val="outEnd"/>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'MAIN-Analisys'!$B$8:$AA$8</c:f>
              <c:numCache>
                <c:formatCode>General</c:formatCode>
                <c:ptCount val="26"/>
                <c:pt idx="0">
                  <c:v>13</c:v>
                </c:pt>
                <c:pt idx="1">
                  <c:v>15</c:v>
                </c:pt>
                <c:pt idx="2">
                  <c:v>5</c:v>
                </c:pt>
                <c:pt idx="3">
                  <c:v>11</c:v>
                </c:pt>
                <c:pt idx="4">
                  <c:v>8</c:v>
                </c:pt>
                <c:pt idx="5">
                  <c:v>-1</c:v>
                </c:pt>
                <c:pt idx="6">
                  <c:v>11</c:v>
                </c:pt>
                <c:pt idx="7">
                  <c:v>7</c:v>
                </c:pt>
                <c:pt idx="8">
                  <c:v>12</c:v>
                </c:pt>
                <c:pt idx="9">
                  <c:v>9</c:v>
                </c:pt>
                <c:pt idx="10">
                  <c:v>9</c:v>
                </c:pt>
                <c:pt idx="11">
                  <c:v>5</c:v>
                </c:pt>
                <c:pt idx="12">
                  <c:v>10</c:v>
                </c:pt>
                <c:pt idx="13">
                  <c:v>4</c:v>
                </c:pt>
                <c:pt idx="14">
                  <c:v>13</c:v>
                </c:pt>
                <c:pt idx="15">
                  <c:v>13</c:v>
                </c:pt>
                <c:pt idx="16">
                  <c:v>7</c:v>
                </c:pt>
                <c:pt idx="17">
                  <c:v>10</c:v>
                </c:pt>
                <c:pt idx="18">
                  <c:v>8</c:v>
                </c:pt>
                <c:pt idx="19">
                  <c:v>15</c:v>
                </c:pt>
              </c:numCache>
            </c:numRef>
          </c:val>
          <c:extLst>
            <c:ext xmlns:c16="http://schemas.microsoft.com/office/drawing/2014/chart" uri="{C3380CC4-5D6E-409C-BE32-E72D297353CC}">
              <c16:uniqueId val="{00000000-3CE3-4A1B-80F4-AB3AD0495421}"/>
            </c:ext>
          </c:extLst>
        </c:ser>
        <c:dLbls>
          <c:showLegendKey val="0"/>
          <c:showVal val="0"/>
          <c:showCatName val="0"/>
          <c:showSerName val="0"/>
          <c:showPercent val="0"/>
          <c:showBubbleSize val="0"/>
        </c:dLbls>
        <c:gapWidth val="219"/>
        <c:overlap val="-27"/>
        <c:axId val="76503500"/>
        <c:axId val="69239104"/>
      </c:barChart>
      <c:lineChart>
        <c:grouping val="standard"/>
        <c:varyColors val="0"/>
        <c:ser>
          <c:idx val="1"/>
          <c:order val="1"/>
          <c:tx>
            <c:v>New orders</c:v>
          </c:tx>
          <c:spPr>
            <a:ln w="34920">
              <a:solidFill>
                <a:srgbClr val="ED7D31"/>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'MAIN-Analisys'!$B$28:$AA$28</c:f>
              <c:numCache>
                <c:formatCode>General</c:formatCode>
                <c:ptCount val="26"/>
                <c:pt idx="0">
                  <c:v>11</c:v>
                </c:pt>
                <c:pt idx="1">
                  <c:v>12</c:v>
                </c:pt>
                <c:pt idx="2">
                  <c:v>2</c:v>
                </c:pt>
                <c:pt idx="3">
                  <c:v>5</c:v>
                </c:pt>
                <c:pt idx="4">
                  <c:v>0</c:v>
                </c:pt>
                <c:pt idx="5">
                  <c:v>0</c:v>
                </c:pt>
                <c:pt idx="6">
                  <c:v>4</c:v>
                </c:pt>
                <c:pt idx="7">
                  <c:v>12</c:v>
                </c:pt>
                <c:pt idx="8">
                  <c:v>13</c:v>
                </c:pt>
                <c:pt idx="9">
                  <c:v>6</c:v>
                </c:pt>
                <c:pt idx="10">
                  <c:v>8</c:v>
                </c:pt>
                <c:pt idx="11">
                  <c:v>8</c:v>
                </c:pt>
                <c:pt idx="12">
                  <c:v>3</c:v>
                </c:pt>
                <c:pt idx="13">
                  <c:v>6</c:v>
                </c:pt>
                <c:pt idx="14">
                  <c:v>12</c:v>
                </c:pt>
                <c:pt idx="15">
                  <c:v>6</c:v>
                </c:pt>
                <c:pt idx="16">
                  <c:v>2</c:v>
                </c:pt>
                <c:pt idx="17">
                  <c:v>5</c:v>
                </c:pt>
                <c:pt idx="18">
                  <c:v>8</c:v>
                </c:pt>
                <c:pt idx="19">
                  <c:v>10</c:v>
                </c:pt>
              </c:numCache>
            </c:numRef>
          </c:val>
          <c:smooth val="0"/>
          <c:extLst>
            <c:ext xmlns:c16="http://schemas.microsoft.com/office/drawing/2014/chart" uri="{C3380CC4-5D6E-409C-BE32-E72D297353CC}">
              <c16:uniqueId val="{00000001-3CE3-4A1B-80F4-AB3AD0495421}"/>
            </c:ext>
          </c:extLst>
        </c:ser>
        <c:ser>
          <c:idx val="2"/>
          <c:order val="2"/>
          <c:tx>
            <c:v>Employment</c:v>
          </c:tx>
          <c:spPr>
            <a:ln w="34920">
              <a:solidFill>
                <a:srgbClr val="A5A5A5"/>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'MAIN-Analisys'!$B$48:$AA$48</c:f>
              <c:numCache>
                <c:formatCode>General</c:formatCode>
                <c:ptCount val="26"/>
                <c:pt idx="0">
                  <c:v>2</c:v>
                </c:pt>
                <c:pt idx="1">
                  <c:v>7</c:v>
                </c:pt>
                <c:pt idx="2">
                  <c:v>-3</c:v>
                </c:pt>
                <c:pt idx="3">
                  <c:v>6</c:v>
                </c:pt>
                <c:pt idx="4">
                  <c:v>2</c:v>
                </c:pt>
                <c:pt idx="5">
                  <c:v>-2</c:v>
                </c:pt>
                <c:pt idx="6">
                  <c:v>4</c:v>
                </c:pt>
                <c:pt idx="7">
                  <c:v>-3</c:v>
                </c:pt>
                <c:pt idx="8">
                  <c:v>5</c:v>
                </c:pt>
                <c:pt idx="9">
                  <c:v>1</c:v>
                </c:pt>
                <c:pt idx="10">
                  <c:v>8</c:v>
                </c:pt>
                <c:pt idx="11">
                  <c:v>3</c:v>
                </c:pt>
                <c:pt idx="12">
                  <c:v>4</c:v>
                </c:pt>
                <c:pt idx="13">
                  <c:v>2</c:v>
                </c:pt>
                <c:pt idx="14">
                  <c:v>3</c:v>
                </c:pt>
                <c:pt idx="15">
                  <c:v>4</c:v>
                </c:pt>
                <c:pt idx="16">
                  <c:v>5</c:v>
                </c:pt>
                <c:pt idx="17">
                  <c:v>-6</c:v>
                </c:pt>
                <c:pt idx="18">
                  <c:v>-5</c:v>
                </c:pt>
                <c:pt idx="19">
                  <c:v>2</c:v>
                </c:pt>
              </c:numCache>
            </c:numRef>
          </c:val>
          <c:smooth val="0"/>
          <c:extLst>
            <c:ext xmlns:c16="http://schemas.microsoft.com/office/drawing/2014/chart" uri="{C3380CC4-5D6E-409C-BE32-E72D297353CC}">
              <c16:uniqueId val="{00000002-3CE3-4A1B-80F4-AB3AD0495421}"/>
            </c:ext>
          </c:extLst>
        </c:ser>
        <c:ser>
          <c:idx val="3"/>
          <c:order val="3"/>
          <c:tx>
            <c:strRef>
              <c:f>'MAIN-Analisys'!$A$61:$A$61</c:f>
              <c:strCache>
                <c:ptCount val="1"/>
                <c:pt idx="0">
                  <c:v>Deliveries</c:v>
                </c:pt>
              </c:strCache>
            </c:strRef>
          </c:tx>
          <c:spPr>
            <a:ln w="34920">
              <a:solidFill>
                <a:srgbClr val="FFC000"/>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'MAIN-Analisys'!$B$68:$AA$68</c:f>
              <c:numCache>
                <c:formatCode>General</c:formatCode>
                <c:ptCount val="26"/>
                <c:pt idx="0">
                  <c:v>-2</c:v>
                </c:pt>
                <c:pt idx="1">
                  <c:v>-8</c:v>
                </c:pt>
                <c:pt idx="2">
                  <c:v>-6</c:v>
                </c:pt>
                <c:pt idx="3">
                  <c:v>-4</c:v>
                </c:pt>
                <c:pt idx="4">
                  <c:v>-10</c:v>
                </c:pt>
                <c:pt idx="5">
                  <c:v>1</c:v>
                </c:pt>
                <c:pt idx="6">
                  <c:v>-6</c:v>
                </c:pt>
                <c:pt idx="7">
                  <c:v>-5</c:v>
                </c:pt>
                <c:pt idx="8">
                  <c:v>-9</c:v>
                </c:pt>
                <c:pt idx="9">
                  <c:v>-10</c:v>
                </c:pt>
                <c:pt idx="10">
                  <c:v>-8</c:v>
                </c:pt>
                <c:pt idx="11">
                  <c:v>-5</c:v>
                </c:pt>
                <c:pt idx="12">
                  <c:v>8</c:v>
                </c:pt>
                <c:pt idx="13">
                  <c:v>-6</c:v>
                </c:pt>
                <c:pt idx="14">
                  <c:v>-13</c:v>
                </c:pt>
                <c:pt idx="15">
                  <c:v>-13</c:v>
                </c:pt>
                <c:pt idx="16">
                  <c:v>-8</c:v>
                </c:pt>
                <c:pt idx="17">
                  <c:v>-10</c:v>
                </c:pt>
                <c:pt idx="18">
                  <c:v>-8</c:v>
                </c:pt>
                <c:pt idx="19">
                  <c:v>-14</c:v>
                </c:pt>
              </c:numCache>
            </c:numRef>
          </c:val>
          <c:smooth val="0"/>
          <c:extLst>
            <c:ext xmlns:c16="http://schemas.microsoft.com/office/drawing/2014/chart" uri="{C3380CC4-5D6E-409C-BE32-E72D297353CC}">
              <c16:uniqueId val="{00000003-3CE3-4A1B-80F4-AB3AD0495421}"/>
            </c:ext>
          </c:extLst>
        </c:ser>
        <c:ser>
          <c:idx val="4"/>
          <c:order val="4"/>
          <c:tx>
            <c:strRef>
              <c:f>'MAIN-Analisys'!$A$81:$A$81</c:f>
              <c:strCache>
                <c:ptCount val="1"/>
                <c:pt idx="0">
                  <c:v>Inventory</c:v>
                </c:pt>
              </c:strCache>
            </c:strRef>
          </c:tx>
          <c:spPr>
            <a:ln w="34920">
              <a:solidFill>
                <a:srgbClr val="4472C4"/>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'MAIN-Analisys'!$B$88:$AA$88</c:f>
              <c:numCache>
                <c:formatCode>General</c:formatCode>
                <c:ptCount val="26"/>
                <c:pt idx="0">
                  <c:v>2</c:v>
                </c:pt>
                <c:pt idx="1">
                  <c:v>0</c:v>
                </c:pt>
                <c:pt idx="2">
                  <c:v>0</c:v>
                </c:pt>
                <c:pt idx="3">
                  <c:v>5</c:v>
                </c:pt>
                <c:pt idx="4">
                  <c:v>6</c:v>
                </c:pt>
                <c:pt idx="5">
                  <c:v>3</c:v>
                </c:pt>
                <c:pt idx="6">
                  <c:v>-2</c:v>
                </c:pt>
                <c:pt idx="7">
                  <c:v>6</c:v>
                </c:pt>
                <c:pt idx="8">
                  <c:v>5</c:v>
                </c:pt>
                <c:pt idx="9">
                  <c:v>-1</c:v>
                </c:pt>
                <c:pt idx="10">
                  <c:v>3</c:v>
                </c:pt>
                <c:pt idx="11">
                  <c:v>4</c:v>
                </c:pt>
                <c:pt idx="12">
                  <c:v>1</c:v>
                </c:pt>
                <c:pt idx="13">
                  <c:v>5</c:v>
                </c:pt>
                <c:pt idx="14">
                  <c:v>2</c:v>
                </c:pt>
                <c:pt idx="15">
                  <c:v>1</c:v>
                </c:pt>
                <c:pt idx="16">
                  <c:v>0</c:v>
                </c:pt>
                <c:pt idx="17">
                  <c:v>4</c:v>
                </c:pt>
                <c:pt idx="18">
                  <c:v>4</c:v>
                </c:pt>
                <c:pt idx="19">
                  <c:v>5</c:v>
                </c:pt>
              </c:numCache>
            </c:numRef>
          </c:val>
          <c:smooth val="0"/>
          <c:extLst>
            <c:ext xmlns:c16="http://schemas.microsoft.com/office/drawing/2014/chart" uri="{C3380CC4-5D6E-409C-BE32-E72D297353CC}">
              <c16:uniqueId val="{00000004-3CE3-4A1B-80F4-AB3AD0495421}"/>
            </c:ext>
          </c:extLst>
        </c:ser>
        <c:ser>
          <c:idx val="5"/>
          <c:order val="5"/>
          <c:tx>
            <c:strRef>
              <c:f>'MAIN-Analisys'!$A$101:$A$101</c:f>
              <c:strCache>
                <c:ptCount val="1"/>
                <c:pt idx="0">
                  <c:v>Prices</c:v>
                </c:pt>
              </c:strCache>
            </c:strRef>
          </c:tx>
          <c:spPr>
            <a:ln w="34920">
              <a:solidFill>
                <a:srgbClr val="70AD47"/>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'MAIN-Analisys'!$B$108:$AA$108</c:f>
              <c:numCache>
                <c:formatCode>General</c:formatCode>
                <c:ptCount val="26"/>
                <c:pt idx="0">
                  <c:v>4</c:v>
                </c:pt>
                <c:pt idx="1">
                  <c:v>0</c:v>
                </c:pt>
                <c:pt idx="2">
                  <c:v>8</c:v>
                </c:pt>
                <c:pt idx="3">
                  <c:v>8</c:v>
                </c:pt>
                <c:pt idx="4">
                  <c:v>2</c:v>
                </c:pt>
                <c:pt idx="5">
                  <c:v>5</c:v>
                </c:pt>
                <c:pt idx="6">
                  <c:v>5</c:v>
                </c:pt>
                <c:pt idx="7">
                  <c:v>16</c:v>
                </c:pt>
                <c:pt idx="8">
                  <c:v>13</c:v>
                </c:pt>
                <c:pt idx="9">
                  <c:v>12</c:v>
                </c:pt>
                <c:pt idx="10">
                  <c:v>12</c:v>
                </c:pt>
                <c:pt idx="11">
                  <c:v>12</c:v>
                </c:pt>
                <c:pt idx="12">
                  <c:v>15</c:v>
                </c:pt>
                <c:pt idx="13">
                  <c:v>9</c:v>
                </c:pt>
                <c:pt idx="14">
                  <c:v>14</c:v>
                </c:pt>
                <c:pt idx="15">
                  <c:v>15</c:v>
                </c:pt>
                <c:pt idx="16">
                  <c:v>13</c:v>
                </c:pt>
                <c:pt idx="17">
                  <c:v>10</c:v>
                </c:pt>
                <c:pt idx="18">
                  <c:v>14</c:v>
                </c:pt>
                <c:pt idx="19">
                  <c:v>14</c:v>
                </c:pt>
              </c:numCache>
            </c:numRef>
          </c:val>
          <c:smooth val="0"/>
          <c:extLst>
            <c:ext xmlns:c16="http://schemas.microsoft.com/office/drawing/2014/chart" uri="{C3380CC4-5D6E-409C-BE32-E72D297353CC}">
              <c16:uniqueId val="{00000005-3CE3-4A1B-80F4-AB3AD0495421}"/>
            </c:ext>
          </c:extLst>
        </c:ser>
        <c:ser>
          <c:idx val="6"/>
          <c:order val="6"/>
          <c:tx>
            <c:v>Business Activity</c:v>
          </c:tx>
          <c:spPr>
            <a:ln>
              <a:solidFill>
                <a:schemeClr val="bg1"/>
              </a:solidFill>
            </a:ln>
          </c:spPr>
          <c:marker>
            <c:symbol val="none"/>
          </c:marker>
          <c:val>
            <c:numRef>
              <c:f>'MAIN-Analisys'!$B$128:$U$128</c:f>
              <c:numCache>
                <c:formatCode>General</c:formatCode>
                <c:ptCount val="20"/>
                <c:pt idx="0">
                  <c:v>12</c:v>
                </c:pt>
                <c:pt idx="1">
                  <c:v>14</c:v>
                </c:pt>
                <c:pt idx="2">
                  <c:v>6</c:v>
                </c:pt>
                <c:pt idx="3">
                  <c:v>11</c:v>
                </c:pt>
                <c:pt idx="4">
                  <c:v>1</c:v>
                </c:pt>
                <c:pt idx="5">
                  <c:v>2</c:v>
                </c:pt>
                <c:pt idx="6">
                  <c:v>9</c:v>
                </c:pt>
                <c:pt idx="7">
                  <c:v>10</c:v>
                </c:pt>
                <c:pt idx="8">
                  <c:v>13</c:v>
                </c:pt>
                <c:pt idx="9">
                  <c:v>11</c:v>
                </c:pt>
                <c:pt idx="10">
                  <c:v>13</c:v>
                </c:pt>
                <c:pt idx="11">
                  <c:v>7</c:v>
                </c:pt>
                <c:pt idx="12">
                  <c:v>9</c:v>
                </c:pt>
                <c:pt idx="13">
                  <c:v>9</c:v>
                </c:pt>
                <c:pt idx="14">
                  <c:v>12</c:v>
                </c:pt>
                <c:pt idx="15">
                  <c:v>10</c:v>
                </c:pt>
                <c:pt idx="16">
                  <c:v>4</c:v>
                </c:pt>
                <c:pt idx="17">
                  <c:v>4</c:v>
                </c:pt>
                <c:pt idx="18">
                  <c:v>5</c:v>
                </c:pt>
                <c:pt idx="19">
                  <c:v>9</c:v>
                </c:pt>
              </c:numCache>
            </c:numRef>
          </c:val>
          <c:smooth val="0"/>
          <c:extLst>
            <c:ext xmlns:c16="http://schemas.microsoft.com/office/drawing/2014/chart" uri="{C3380CC4-5D6E-409C-BE32-E72D297353CC}">
              <c16:uniqueId val="{00000001-6602-405E-81EB-68E7092926E9}"/>
            </c:ext>
          </c:extLst>
        </c:ser>
        <c:dLbls>
          <c:showLegendKey val="0"/>
          <c:showVal val="0"/>
          <c:showCatName val="0"/>
          <c:showSerName val="0"/>
          <c:showPercent val="0"/>
          <c:showBubbleSize val="0"/>
        </c:dLbls>
        <c:hiLowLines>
          <c:spPr>
            <a:ln>
              <a:noFill/>
            </a:ln>
          </c:spPr>
        </c:hiLowLines>
        <c:marker val="1"/>
        <c:smooth val="0"/>
        <c:axId val="76503500"/>
        <c:axId val="69239104"/>
      </c:lineChart>
      <c:catAx>
        <c:axId val="76503500"/>
        <c:scaling>
          <c:orientation val="minMax"/>
        </c:scaling>
        <c:delete val="0"/>
        <c:axPos val="b"/>
        <c:numFmt formatCode="General" sourceLinked="1"/>
        <c:majorTickMark val="none"/>
        <c:minorTickMark val="none"/>
        <c:tickLblPos val="nextTo"/>
        <c:spPr>
          <a:ln w="12600">
            <a:solidFill>
              <a:srgbClr val="F2F2F2">
                <a:alpha val="54000"/>
              </a:srgbClr>
            </a:solidFill>
            <a:round/>
          </a:ln>
        </c:spPr>
        <c:txPr>
          <a:bodyPr/>
          <a:lstStyle/>
          <a:p>
            <a:pPr>
              <a:defRPr sz="900" b="0" strike="noStrike" spc="-1">
                <a:solidFill>
                  <a:srgbClr val="D9D9D9"/>
                </a:solidFill>
                <a:latin typeface="Calibri"/>
              </a:defRPr>
            </a:pPr>
            <a:endParaRPr lang="bg-BG"/>
          </a:p>
        </c:txPr>
        <c:crossAx val="69239104"/>
        <c:crosses val="autoZero"/>
        <c:auto val="1"/>
        <c:lblAlgn val="ctr"/>
        <c:lblOffset val="100"/>
        <c:noMultiLvlLbl val="1"/>
      </c:catAx>
      <c:valAx>
        <c:axId val="69239104"/>
        <c:scaling>
          <c:orientation val="minMax"/>
        </c:scaling>
        <c:delete val="0"/>
        <c:axPos val="l"/>
        <c:majorGridlines>
          <c:spPr>
            <a:ln w="9360">
              <a:solidFill>
                <a:srgbClr val="F2F2F2">
                  <a:alpha val="10000"/>
                </a:srgbClr>
              </a:solidFill>
              <a:round/>
            </a:ln>
          </c:spPr>
        </c:majorGridlines>
        <c:numFmt formatCode="General" sourceLinked="0"/>
        <c:majorTickMark val="none"/>
        <c:minorTickMark val="none"/>
        <c:tickLblPos val="nextTo"/>
        <c:spPr>
          <a:ln w="6480">
            <a:noFill/>
          </a:ln>
        </c:spPr>
        <c:txPr>
          <a:bodyPr/>
          <a:lstStyle/>
          <a:p>
            <a:pPr>
              <a:defRPr sz="900" b="0" strike="noStrike" spc="-1">
                <a:solidFill>
                  <a:srgbClr val="D9D9D9"/>
                </a:solidFill>
                <a:latin typeface="Calibri"/>
              </a:defRPr>
            </a:pPr>
            <a:endParaRPr lang="bg-BG"/>
          </a:p>
        </c:txPr>
        <c:crossAx val="76503500"/>
        <c:crosses val="autoZero"/>
        <c:crossBetween val="between"/>
      </c:valAx>
      <c:spPr>
        <a:noFill/>
        <a:ln>
          <a:noFill/>
        </a:ln>
      </c:spPr>
    </c:plotArea>
    <c:legend>
      <c:legendPos val="b"/>
      <c:overlay val="0"/>
      <c:spPr>
        <a:noFill/>
        <a:ln>
          <a:noFill/>
        </a:ln>
      </c:spPr>
      <c:txPr>
        <a:bodyPr/>
        <a:lstStyle/>
        <a:p>
          <a:pPr>
            <a:defRPr sz="900" b="0" strike="noStrike" spc="-1">
              <a:solidFill>
                <a:srgbClr val="D9D9D9"/>
              </a:solidFill>
              <a:latin typeface="Calibri"/>
            </a:defRPr>
          </a:pPr>
          <a:endParaRPr lang="bg-BG"/>
        </a:p>
      </c:txPr>
    </c:legend>
    <c:plotVisOnly val="1"/>
    <c:dispBlanksAs val="gap"/>
    <c:showDLblsOverMax val="1"/>
  </c:chart>
  <c:spPr>
    <a:gradFill>
      <a:gsLst>
        <a:gs pos="0">
          <a:srgbClr val="595959"/>
        </a:gs>
        <a:gs pos="100000">
          <a:srgbClr val="262626"/>
        </a:gs>
      </a:gsLst>
      <a:path path="circle"/>
    </a:gradFill>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600" b="1" strike="noStrike" spc="97">
                <a:solidFill>
                  <a:srgbClr val="F2F2F2"/>
                </a:solidFill>
                <a:latin typeface="Calibri"/>
              </a:defRPr>
            </a:pPr>
            <a:r>
              <a:rPr lang="en-US" sz="1600" b="1" strike="noStrike" spc="97">
                <a:solidFill>
                  <a:srgbClr val="F2F2F2"/>
                </a:solidFill>
                <a:latin typeface="Calibri"/>
              </a:rPr>
              <a:t>Agriculture, Forestry, Fishing &amp; Hunting</a:t>
            </a:r>
          </a:p>
        </c:rich>
      </c:tx>
      <c:overlay val="0"/>
      <c:spPr>
        <a:noFill/>
        <a:ln>
          <a:noFill/>
        </a:ln>
      </c:spPr>
    </c:title>
    <c:autoTitleDeleted val="0"/>
    <c:plotArea>
      <c:layout/>
      <c:barChart>
        <c:barDir val="col"/>
        <c:grouping val="clustered"/>
        <c:varyColors val="0"/>
        <c:ser>
          <c:idx val="0"/>
          <c:order val="0"/>
          <c:tx>
            <c:v>Main PMI</c:v>
          </c:tx>
          <c:spPr>
            <a:gradFill>
              <a:gsLst>
                <a:gs pos="0">
                  <a:srgbClr val="71A6DA"/>
                </a:gs>
                <a:gs pos="100000">
                  <a:srgbClr val="549ADA"/>
                </a:gs>
              </a:gsLst>
              <a:lin ang="5400000"/>
            </a:gradFill>
            <a:ln>
              <a:noFill/>
            </a:ln>
          </c:spPr>
          <c:invertIfNegative val="0"/>
          <c:dLbls>
            <c:spPr>
              <a:noFill/>
              <a:ln>
                <a:noFill/>
              </a:ln>
              <a:effectLst/>
            </c:spPr>
            <c:txPr>
              <a:bodyPr/>
              <a:lstStyle/>
              <a:p>
                <a:pPr>
                  <a:defRPr sz="1000" b="0" strike="noStrike" spc="-1">
                    <a:solidFill>
                      <a:srgbClr val="000000"/>
                    </a:solidFill>
                    <a:latin typeface="Calibri"/>
                  </a:defRPr>
                </a:pPr>
                <a:endParaRPr lang="bg-BG"/>
              </a:p>
            </c:txPr>
            <c:dLblPos val="outEnd"/>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'MAIN-Analisys'!$B$9:$AA$9</c:f>
              <c:numCache>
                <c:formatCode>General</c:formatCode>
                <c:ptCount val="26"/>
                <c:pt idx="0">
                  <c:v>3</c:v>
                </c:pt>
                <c:pt idx="1">
                  <c:v>5</c:v>
                </c:pt>
                <c:pt idx="2">
                  <c:v>12</c:v>
                </c:pt>
                <c:pt idx="3">
                  <c:v>4</c:v>
                </c:pt>
                <c:pt idx="4">
                  <c:v>7</c:v>
                </c:pt>
                <c:pt idx="5">
                  <c:v>7</c:v>
                </c:pt>
                <c:pt idx="6">
                  <c:v>4</c:v>
                </c:pt>
                <c:pt idx="7">
                  <c:v>13</c:v>
                </c:pt>
                <c:pt idx="8">
                  <c:v>-1</c:v>
                </c:pt>
                <c:pt idx="9">
                  <c:v>4</c:v>
                </c:pt>
                <c:pt idx="10">
                  <c:v>-1</c:v>
                </c:pt>
                <c:pt idx="11">
                  <c:v>0</c:v>
                </c:pt>
                <c:pt idx="12">
                  <c:v>4</c:v>
                </c:pt>
                <c:pt idx="13">
                  <c:v>-1</c:v>
                </c:pt>
                <c:pt idx="14">
                  <c:v>6</c:v>
                </c:pt>
                <c:pt idx="15">
                  <c:v>15</c:v>
                </c:pt>
                <c:pt idx="16">
                  <c:v>0</c:v>
                </c:pt>
                <c:pt idx="17">
                  <c:v>-3</c:v>
                </c:pt>
                <c:pt idx="18">
                  <c:v>-2</c:v>
                </c:pt>
                <c:pt idx="19">
                  <c:v>0</c:v>
                </c:pt>
              </c:numCache>
            </c:numRef>
          </c:val>
          <c:extLst>
            <c:ext xmlns:c16="http://schemas.microsoft.com/office/drawing/2014/chart" uri="{C3380CC4-5D6E-409C-BE32-E72D297353CC}">
              <c16:uniqueId val="{00000000-E2BE-493D-9DA4-E27B5B5429FD}"/>
            </c:ext>
          </c:extLst>
        </c:ser>
        <c:dLbls>
          <c:showLegendKey val="0"/>
          <c:showVal val="0"/>
          <c:showCatName val="0"/>
          <c:showSerName val="0"/>
          <c:showPercent val="0"/>
          <c:showBubbleSize val="0"/>
        </c:dLbls>
        <c:gapWidth val="219"/>
        <c:overlap val="-27"/>
        <c:axId val="49927808"/>
        <c:axId val="4237598"/>
      </c:barChart>
      <c:lineChart>
        <c:grouping val="standard"/>
        <c:varyColors val="0"/>
        <c:ser>
          <c:idx val="1"/>
          <c:order val="1"/>
          <c:tx>
            <c:v>New orders</c:v>
          </c:tx>
          <c:spPr>
            <a:ln w="34920">
              <a:solidFill>
                <a:srgbClr val="ED7D31"/>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'MAIN-Analisys'!$B$29:$AA$29</c:f>
              <c:numCache>
                <c:formatCode>General</c:formatCode>
                <c:ptCount val="26"/>
                <c:pt idx="0">
                  <c:v>-4</c:v>
                </c:pt>
                <c:pt idx="1">
                  <c:v>-2</c:v>
                </c:pt>
                <c:pt idx="2">
                  <c:v>8</c:v>
                </c:pt>
                <c:pt idx="3">
                  <c:v>0</c:v>
                </c:pt>
                <c:pt idx="4">
                  <c:v>-3</c:v>
                </c:pt>
                <c:pt idx="5">
                  <c:v>6</c:v>
                </c:pt>
                <c:pt idx="6">
                  <c:v>0</c:v>
                </c:pt>
                <c:pt idx="7">
                  <c:v>6</c:v>
                </c:pt>
                <c:pt idx="8">
                  <c:v>-1</c:v>
                </c:pt>
                <c:pt idx="9">
                  <c:v>5</c:v>
                </c:pt>
                <c:pt idx="10">
                  <c:v>-1</c:v>
                </c:pt>
                <c:pt idx="11">
                  <c:v>0</c:v>
                </c:pt>
                <c:pt idx="12">
                  <c:v>0</c:v>
                </c:pt>
                <c:pt idx="13">
                  <c:v>-1</c:v>
                </c:pt>
                <c:pt idx="14">
                  <c:v>0</c:v>
                </c:pt>
                <c:pt idx="15">
                  <c:v>10</c:v>
                </c:pt>
                <c:pt idx="16">
                  <c:v>-2</c:v>
                </c:pt>
                <c:pt idx="17">
                  <c:v>0</c:v>
                </c:pt>
                <c:pt idx="18">
                  <c:v>0</c:v>
                </c:pt>
                <c:pt idx="19">
                  <c:v>-2</c:v>
                </c:pt>
              </c:numCache>
            </c:numRef>
          </c:val>
          <c:smooth val="0"/>
          <c:extLst>
            <c:ext xmlns:c16="http://schemas.microsoft.com/office/drawing/2014/chart" uri="{C3380CC4-5D6E-409C-BE32-E72D297353CC}">
              <c16:uniqueId val="{00000001-E2BE-493D-9DA4-E27B5B5429FD}"/>
            </c:ext>
          </c:extLst>
        </c:ser>
        <c:ser>
          <c:idx val="2"/>
          <c:order val="2"/>
          <c:tx>
            <c:strRef>
              <c:f>'MAIN-Analisys'!$A$41:$A$41</c:f>
              <c:strCache>
                <c:ptCount val="1"/>
                <c:pt idx="0">
                  <c:v>Employment</c:v>
                </c:pt>
              </c:strCache>
            </c:strRef>
          </c:tx>
          <c:spPr>
            <a:ln w="34920">
              <a:solidFill>
                <a:srgbClr val="A5A5A5"/>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'MAIN-Analisys'!$B$49:$AA$49</c:f>
              <c:numCache>
                <c:formatCode>General</c:formatCode>
                <c:ptCount val="26"/>
                <c:pt idx="0">
                  <c:v>7</c:v>
                </c:pt>
                <c:pt idx="1">
                  <c:v>6</c:v>
                </c:pt>
                <c:pt idx="2">
                  <c:v>0</c:v>
                </c:pt>
                <c:pt idx="3">
                  <c:v>0</c:v>
                </c:pt>
                <c:pt idx="4">
                  <c:v>0</c:v>
                </c:pt>
                <c:pt idx="5">
                  <c:v>0</c:v>
                </c:pt>
                <c:pt idx="6">
                  <c:v>0</c:v>
                </c:pt>
                <c:pt idx="7">
                  <c:v>0</c:v>
                </c:pt>
                <c:pt idx="8">
                  <c:v>-4</c:v>
                </c:pt>
                <c:pt idx="9">
                  <c:v>-2</c:v>
                </c:pt>
                <c:pt idx="10">
                  <c:v>0</c:v>
                </c:pt>
                <c:pt idx="11">
                  <c:v>0</c:v>
                </c:pt>
                <c:pt idx="12">
                  <c:v>-4</c:v>
                </c:pt>
                <c:pt idx="13">
                  <c:v>-3</c:v>
                </c:pt>
                <c:pt idx="14">
                  <c:v>11</c:v>
                </c:pt>
                <c:pt idx="15">
                  <c:v>8</c:v>
                </c:pt>
                <c:pt idx="16">
                  <c:v>9</c:v>
                </c:pt>
                <c:pt idx="17">
                  <c:v>0</c:v>
                </c:pt>
                <c:pt idx="18">
                  <c:v>-7</c:v>
                </c:pt>
                <c:pt idx="19">
                  <c:v>-3</c:v>
                </c:pt>
              </c:numCache>
            </c:numRef>
          </c:val>
          <c:smooth val="0"/>
          <c:extLst>
            <c:ext xmlns:c16="http://schemas.microsoft.com/office/drawing/2014/chart" uri="{C3380CC4-5D6E-409C-BE32-E72D297353CC}">
              <c16:uniqueId val="{00000002-E2BE-493D-9DA4-E27B5B5429FD}"/>
            </c:ext>
          </c:extLst>
        </c:ser>
        <c:ser>
          <c:idx val="3"/>
          <c:order val="3"/>
          <c:tx>
            <c:strRef>
              <c:f>'MAIN-Analisys'!$A$61:$A$61</c:f>
              <c:strCache>
                <c:ptCount val="1"/>
                <c:pt idx="0">
                  <c:v>Deliveries</c:v>
                </c:pt>
              </c:strCache>
            </c:strRef>
          </c:tx>
          <c:spPr>
            <a:ln w="34920">
              <a:solidFill>
                <a:srgbClr val="FFC000"/>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'MAIN-Analisys'!$B$69:$AA$69</c:f>
              <c:numCache>
                <c:formatCode>General</c:formatCode>
                <c:ptCount val="26"/>
                <c:pt idx="0">
                  <c:v>-15</c:v>
                </c:pt>
                <c:pt idx="1">
                  <c:v>-13</c:v>
                </c:pt>
                <c:pt idx="2">
                  <c:v>-11</c:v>
                </c:pt>
                <c:pt idx="3">
                  <c:v>-14</c:v>
                </c:pt>
                <c:pt idx="4">
                  <c:v>-15</c:v>
                </c:pt>
                <c:pt idx="5">
                  <c:v>-6</c:v>
                </c:pt>
                <c:pt idx="6">
                  <c:v>-13</c:v>
                </c:pt>
                <c:pt idx="7">
                  <c:v>-13</c:v>
                </c:pt>
                <c:pt idx="8">
                  <c:v>-3</c:v>
                </c:pt>
                <c:pt idx="9">
                  <c:v>-12</c:v>
                </c:pt>
                <c:pt idx="10">
                  <c:v>-7</c:v>
                </c:pt>
                <c:pt idx="11">
                  <c:v>0</c:v>
                </c:pt>
                <c:pt idx="12">
                  <c:v>12</c:v>
                </c:pt>
                <c:pt idx="13">
                  <c:v>-5</c:v>
                </c:pt>
                <c:pt idx="14">
                  <c:v>-7</c:v>
                </c:pt>
                <c:pt idx="15">
                  <c:v>-15</c:v>
                </c:pt>
                <c:pt idx="16">
                  <c:v>-6</c:v>
                </c:pt>
                <c:pt idx="17">
                  <c:v>1</c:v>
                </c:pt>
                <c:pt idx="18">
                  <c:v>-10</c:v>
                </c:pt>
                <c:pt idx="19">
                  <c:v>-6</c:v>
                </c:pt>
              </c:numCache>
            </c:numRef>
          </c:val>
          <c:smooth val="0"/>
          <c:extLst>
            <c:ext xmlns:c16="http://schemas.microsoft.com/office/drawing/2014/chart" uri="{C3380CC4-5D6E-409C-BE32-E72D297353CC}">
              <c16:uniqueId val="{00000003-E2BE-493D-9DA4-E27B5B5429FD}"/>
            </c:ext>
          </c:extLst>
        </c:ser>
        <c:ser>
          <c:idx val="4"/>
          <c:order val="4"/>
          <c:tx>
            <c:strRef>
              <c:f>'MAIN-Analisys'!$A$81:$A$81</c:f>
              <c:strCache>
                <c:ptCount val="1"/>
                <c:pt idx="0">
                  <c:v>Inventory</c:v>
                </c:pt>
              </c:strCache>
            </c:strRef>
          </c:tx>
          <c:spPr>
            <a:ln w="34920">
              <a:solidFill>
                <a:srgbClr val="4472C4"/>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'MAIN-Analisys'!$B$89:$AA$89</c:f>
              <c:numCache>
                <c:formatCode>General</c:formatCode>
                <c:ptCount val="26"/>
                <c:pt idx="0">
                  <c:v>0</c:v>
                </c:pt>
                <c:pt idx="1">
                  <c:v>-3</c:v>
                </c:pt>
                <c:pt idx="2">
                  <c:v>0</c:v>
                </c:pt>
                <c:pt idx="3">
                  <c:v>8</c:v>
                </c:pt>
                <c:pt idx="4">
                  <c:v>10</c:v>
                </c:pt>
                <c:pt idx="5">
                  <c:v>0</c:v>
                </c:pt>
                <c:pt idx="6">
                  <c:v>0</c:v>
                </c:pt>
                <c:pt idx="7">
                  <c:v>0</c:v>
                </c:pt>
                <c:pt idx="8">
                  <c:v>0</c:v>
                </c:pt>
                <c:pt idx="9">
                  <c:v>4</c:v>
                </c:pt>
                <c:pt idx="10">
                  <c:v>0</c:v>
                </c:pt>
                <c:pt idx="11">
                  <c:v>9</c:v>
                </c:pt>
                <c:pt idx="12">
                  <c:v>-6</c:v>
                </c:pt>
                <c:pt idx="13">
                  <c:v>-6</c:v>
                </c:pt>
                <c:pt idx="14">
                  <c:v>0</c:v>
                </c:pt>
                <c:pt idx="15">
                  <c:v>-7</c:v>
                </c:pt>
                <c:pt idx="16">
                  <c:v>5</c:v>
                </c:pt>
                <c:pt idx="17">
                  <c:v>-3</c:v>
                </c:pt>
                <c:pt idx="18">
                  <c:v>-2</c:v>
                </c:pt>
                <c:pt idx="19">
                  <c:v>-2</c:v>
                </c:pt>
              </c:numCache>
            </c:numRef>
          </c:val>
          <c:smooth val="0"/>
          <c:extLst>
            <c:ext xmlns:c16="http://schemas.microsoft.com/office/drawing/2014/chart" uri="{C3380CC4-5D6E-409C-BE32-E72D297353CC}">
              <c16:uniqueId val="{00000004-E2BE-493D-9DA4-E27B5B5429FD}"/>
            </c:ext>
          </c:extLst>
        </c:ser>
        <c:ser>
          <c:idx val="5"/>
          <c:order val="5"/>
          <c:tx>
            <c:strRef>
              <c:f>'MAIN-Analisys'!$A$101:$A$101</c:f>
              <c:strCache>
                <c:ptCount val="1"/>
                <c:pt idx="0">
                  <c:v>Prices</c:v>
                </c:pt>
              </c:strCache>
            </c:strRef>
          </c:tx>
          <c:spPr>
            <a:ln w="34920">
              <a:solidFill>
                <a:srgbClr val="70AD47"/>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'MAIN-Analisys'!$B$109:$AA$109</c:f>
              <c:numCache>
                <c:formatCode>General</c:formatCode>
                <c:ptCount val="26"/>
                <c:pt idx="0">
                  <c:v>11</c:v>
                </c:pt>
                <c:pt idx="1">
                  <c:v>4</c:v>
                </c:pt>
                <c:pt idx="2">
                  <c:v>9</c:v>
                </c:pt>
                <c:pt idx="3">
                  <c:v>15</c:v>
                </c:pt>
                <c:pt idx="4">
                  <c:v>9</c:v>
                </c:pt>
                <c:pt idx="5">
                  <c:v>14</c:v>
                </c:pt>
                <c:pt idx="6">
                  <c:v>12</c:v>
                </c:pt>
                <c:pt idx="7">
                  <c:v>6</c:v>
                </c:pt>
                <c:pt idx="8">
                  <c:v>14</c:v>
                </c:pt>
                <c:pt idx="9">
                  <c:v>15</c:v>
                </c:pt>
                <c:pt idx="10">
                  <c:v>-1</c:v>
                </c:pt>
                <c:pt idx="11">
                  <c:v>0</c:v>
                </c:pt>
                <c:pt idx="12">
                  <c:v>9</c:v>
                </c:pt>
                <c:pt idx="13">
                  <c:v>3</c:v>
                </c:pt>
                <c:pt idx="14">
                  <c:v>5</c:v>
                </c:pt>
                <c:pt idx="15">
                  <c:v>2</c:v>
                </c:pt>
                <c:pt idx="16">
                  <c:v>1</c:v>
                </c:pt>
                <c:pt idx="17">
                  <c:v>18</c:v>
                </c:pt>
                <c:pt idx="18">
                  <c:v>12</c:v>
                </c:pt>
                <c:pt idx="19">
                  <c:v>13</c:v>
                </c:pt>
              </c:numCache>
            </c:numRef>
          </c:val>
          <c:smooth val="0"/>
          <c:extLst>
            <c:ext xmlns:c16="http://schemas.microsoft.com/office/drawing/2014/chart" uri="{C3380CC4-5D6E-409C-BE32-E72D297353CC}">
              <c16:uniqueId val="{00000005-E2BE-493D-9DA4-E27B5B5429FD}"/>
            </c:ext>
          </c:extLst>
        </c:ser>
        <c:ser>
          <c:idx val="6"/>
          <c:order val="6"/>
          <c:tx>
            <c:v>Business Activity</c:v>
          </c:tx>
          <c:spPr>
            <a:ln>
              <a:solidFill>
                <a:schemeClr val="bg1"/>
              </a:solidFill>
            </a:ln>
          </c:spPr>
          <c:marker>
            <c:symbol val="none"/>
          </c:marker>
          <c:val>
            <c:numRef>
              <c:f>'MAIN-Analisys'!$B$129:$U$129</c:f>
              <c:numCache>
                <c:formatCode>General</c:formatCode>
                <c:ptCount val="20"/>
                <c:pt idx="0">
                  <c:v>-3</c:v>
                </c:pt>
                <c:pt idx="1">
                  <c:v>-1</c:v>
                </c:pt>
                <c:pt idx="2">
                  <c:v>12</c:v>
                </c:pt>
                <c:pt idx="3">
                  <c:v>-1</c:v>
                </c:pt>
                <c:pt idx="4">
                  <c:v>6</c:v>
                </c:pt>
                <c:pt idx="5">
                  <c:v>0</c:v>
                </c:pt>
                <c:pt idx="6">
                  <c:v>-2</c:v>
                </c:pt>
                <c:pt idx="7">
                  <c:v>12</c:v>
                </c:pt>
                <c:pt idx="8">
                  <c:v>-1</c:v>
                </c:pt>
                <c:pt idx="9">
                  <c:v>3</c:v>
                </c:pt>
                <c:pt idx="10">
                  <c:v>-1</c:v>
                </c:pt>
                <c:pt idx="11">
                  <c:v>0</c:v>
                </c:pt>
                <c:pt idx="12">
                  <c:v>6</c:v>
                </c:pt>
                <c:pt idx="13">
                  <c:v>-1</c:v>
                </c:pt>
                <c:pt idx="14">
                  <c:v>0</c:v>
                </c:pt>
                <c:pt idx="15">
                  <c:v>8</c:v>
                </c:pt>
                <c:pt idx="16">
                  <c:v>-2</c:v>
                </c:pt>
                <c:pt idx="17">
                  <c:v>-6</c:v>
                </c:pt>
                <c:pt idx="18">
                  <c:v>-2</c:v>
                </c:pt>
                <c:pt idx="19">
                  <c:v>-2</c:v>
                </c:pt>
              </c:numCache>
            </c:numRef>
          </c:val>
          <c:smooth val="0"/>
          <c:extLst>
            <c:ext xmlns:c16="http://schemas.microsoft.com/office/drawing/2014/chart" uri="{C3380CC4-5D6E-409C-BE32-E72D297353CC}">
              <c16:uniqueId val="{00000001-C37D-496C-8077-CF23561F316E}"/>
            </c:ext>
          </c:extLst>
        </c:ser>
        <c:dLbls>
          <c:showLegendKey val="0"/>
          <c:showVal val="0"/>
          <c:showCatName val="0"/>
          <c:showSerName val="0"/>
          <c:showPercent val="0"/>
          <c:showBubbleSize val="0"/>
        </c:dLbls>
        <c:hiLowLines>
          <c:spPr>
            <a:ln>
              <a:noFill/>
            </a:ln>
          </c:spPr>
        </c:hiLowLines>
        <c:marker val="1"/>
        <c:smooth val="0"/>
        <c:axId val="49927808"/>
        <c:axId val="4237598"/>
      </c:lineChart>
      <c:catAx>
        <c:axId val="49927808"/>
        <c:scaling>
          <c:orientation val="minMax"/>
        </c:scaling>
        <c:delete val="0"/>
        <c:axPos val="b"/>
        <c:numFmt formatCode="General" sourceLinked="1"/>
        <c:majorTickMark val="none"/>
        <c:minorTickMark val="none"/>
        <c:tickLblPos val="nextTo"/>
        <c:spPr>
          <a:ln w="12600">
            <a:solidFill>
              <a:srgbClr val="F2F2F2">
                <a:alpha val="54000"/>
              </a:srgbClr>
            </a:solidFill>
            <a:round/>
          </a:ln>
        </c:spPr>
        <c:txPr>
          <a:bodyPr/>
          <a:lstStyle/>
          <a:p>
            <a:pPr>
              <a:defRPr sz="900" b="0" strike="noStrike" spc="-1">
                <a:solidFill>
                  <a:srgbClr val="D9D9D9"/>
                </a:solidFill>
                <a:latin typeface="Calibri"/>
              </a:defRPr>
            </a:pPr>
            <a:endParaRPr lang="bg-BG"/>
          </a:p>
        </c:txPr>
        <c:crossAx val="4237598"/>
        <c:crosses val="autoZero"/>
        <c:auto val="1"/>
        <c:lblAlgn val="ctr"/>
        <c:lblOffset val="100"/>
        <c:noMultiLvlLbl val="1"/>
      </c:catAx>
      <c:valAx>
        <c:axId val="4237598"/>
        <c:scaling>
          <c:orientation val="minMax"/>
        </c:scaling>
        <c:delete val="0"/>
        <c:axPos val="l"/>
        <c:majorGridlines>
          <c:spPr>
            <a:ln w="9360">
              <a:solidFill>
                <a:srgbClr val="F2F2F2">
                  <a:alpha val="10000"/>
                </a:srgbClr>
              </a:solidFill>
              <a:round/>
            </a:ln>
          </c:spPr>
        </c:majorGridlines>
        <c:numFmt formatCode="General" sourceLinked="0"/>
        <c:majorTickMark val="none"/>
        <c:minorTickMark val="none"/>
        <c:tickLblPos val="nextTo"/>
        <c:spPr>
          <a:ln w="6480">
            <a:noFill/>
          </a:ln>
        </c:spPr>
        <c:txPr>
          <a:bodyPr/>
          <a:lstStyle/>
          <a:p>
            <a:pPr>
              <a:defRPr sz="900" b="0" strike="noStrike" spc="-1">
                <a:solidFill>
                  <a:srgbClr val="D9D9D9"/>
                </a:solidFill>
                <a:latin typeface="Calibri"/>
              </a:defRPr>
            </a:pPr>
            <a:endParaRPr lang="bg-BG"/>
          </a:p>
        </c:txPr>
        <c:crossAx val="49927808"/>
        <c:crosses val="autoZero"/>
        <c:crossBetween val="between"/>
      </c:valAx>
      <c:spPr>
        <a:noFill/>
        <a:ln>
          <a:noFill/>
        </a:ln>
      </c:spPr>
    </c:plotArea>
    <c:legend>
      <c:legendPos val="b"/>
      <c:overlay val="0"/>
      <c:spPr>
        <a:noFill/>
        <a:ln>
          <a:noFill/>
        </a:ln>
      </c:spPr>
      <c:txPr>
        <a:bodyPr/>
        <a:lstStyle/>
        <a:p>
          <a:pPr>
            <a:defRPr sz="900" b="0" strike="noStrike" spc="-1">
              <a:solidFill>
                <a:srgbClr val="D9D9D9"/>
              </a:solidFill>
              <a:latin typeface="Calibri"/>
            </a:defRPr>
          </a:pPr>
          <a:endParaRPr lang="bg-BG"/>
        </a:p>
      </c:txPr>
    </c:legend>
    <c:plotVisOnly val="1"/>
    <c:dispBlanksAs val="gap"/>
    <c:showDLblsOverMax val="1"/>
  </c:chart>
  <c:spPr>
    <a:gradFill>
      <a:gsLst>
        <a:gs pos="0">
          <a:srgbClr val="595959"/>
        </a:gs>
        <a:gs pos="100000">
          <a:srgbClr val="262626"/>
        </a:gs>
      </a:gsLst>
      <a:path path="circle"/>
    </a:gradFill>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600" b="1" strike="noStrike" spc="97">
                <a:solidFill>
                  <a:srgbClr val="F2F2F2"/>
                </a:solidFill>
                <a:latin typeface="Calibri"/>
              </a:defRPr>
            </a:pPr>
            <a:r>
              <a:rPr lang="en-US" sz="1600" b="1" strike="noStrike" spc="97">
                <a:solidFill>
                  <a:srgbClr val="F2F2F2"/>
                </a:solidFill>
                <a:latin typeface="Calibri"/>
              </a:rPr>
              <a:t>Information</a:t>
            </a:r>
          </a:p>
        </c:rich>
      </c:tx>
      <c:overlay val="0"/>
      <c:spPr>
        <a:noFill/>
        <a:ln>
          <a:noFill/>
        </a:ln>
      </c:spPr>
    </c:title>
    <c:autoTitleDeleted val="0"/>
    <c:plotArea>
      <c:layout/>
      <c:barChart>
        <c:barDir val="col"/>
        <c:grouping val="clustered"/>
        <c:varyColors val="0"/>
        <c:ser>
          <c:idx val="0"/>
          <c:order val="0"/>
          <c:tx>
            <c:v>Main PMI</c:v>
          </c:tx>
          <c:spPr>
            <a:gradFill>
              <a:gsLst>
                <a:gs pos="0">
                  <a:srgbClr val="71A6DA"/>
                </a:gs>
                <a:gs pos="100000">
                  <a:srgbClr val="549ADA"/>
                </a:gs>
              </a:gsLst>
              <a:lin ang="5400000"/>
            </a:gradFill>
            <a:ln>
              <a:noFill/>
            </a:ln>
          </c:spPr>
          <c:invertIfNegative val="0"/>
          <c:dLbls>
            <c:spPr>
              <a:noFill/>
              <a:ln>
                <a:noFill/>
              </a:ln>
              <a:effectLst/>
            </c:spPr>
            <c:txPr>
              <a:bodyPr/>
              <a:lstStyle/>
              <a:p>
                <a:pPr>
                  <a:defRPr sz="1000" b="0" strike="noStrike" spc="-1">
                    <a:solidFill>
                      <a:srgbClr val="000000"/>
                    </a:solidFill>
                    <a:latin typeface="Calibri"/>
                  </a:defRPr>
                </a:pPr>
                <a:endParaRPr lang="bg-BG"/>
              </a:p>
            </c:txPr>
            <c:dLblPos val="outEnd"/>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'MAIN-Analisys'!$B$10:$AA$10</c:f>
              <c:numCache>
                <c:formatCode>General</c:formatCode>
                <c:ptCount val="26"/>
                <c:pt idx="0">
                  <c:v>-2</c:v>
                </c:pt>
                <c:pt idx="1">
                  <c:v>2</c:v>
                </c:pt>
                <c:pt idx="2">
                  <c:v>2</c:v>
                </c:pt>
                <c:pt idx="3">
                  <c:v>1</c:v>
                </c:pt>
                <c:pt idx="4">
                  <c:v>6</c:v>
                </c:pt>
                <c:pt idx="5">
                  <c:v>1</c:v>
                </c:pt>
                <c:pt idx="6">
                  <c:v>5</c:v>
                </c:pt>
                <c:pt idx="7">
                  <c:v>4</c:v>
                </c:pt>
                <c:pt idx="8">
                  <c:v>2</c:v>
                </c:pt>
                <c:pt idx="9">
                  <c:v>7</c:v>
                </c:pt>
                <c:pt idx="10">
                  <c:v>4</c:v>
                </c:pt>
                <c:pt idx="11">
                  <c:v>10</c:v>
                </c:pt>
                <c:pt idx="12">
                  <c:v>13</c:v>
                </c:pt>
                <c:pt idx="13">
                  <c:v>6</c:v>
                </c:pt>
                <c:pt idx="14">
                  <c:v>11</c:v>
                </c:pt>
                <c:pt idx="15">
                  <c:v>3</c:v>
                </c:pt>
                <c:pt idx="16">
                  <c:v>3</c:v>
                </c:pt>
                <c:pt idx="17">
                  <c:v>-1</c:v>
                </c:pt>
                <c:pt idx="18">
                  <c:v>2</c:v>
                </c:pt>
                <c:pt idx="19">
                  <c:v>9</c:v>
                </c:pt>
              </c:numCache>
            </c:numRef>
          </c:val>
          <c:extLst>
            <c:ext xmlns:c16="http://schemas.microsoft.com/office/drawing/2014/chart" uri="{C3380CC4-5D6E-409C-BE32-E72D297353CC}">
              <c16:uniqueId val="{00000000-7BE9-4E58-A195-48E625A76CF5}"/>
            </c:ext>
          </c:extLst>
        </c:ser>
        <c:dLbls>
          <c:showLegendKey val="0"/>
          <c:showVal val="0"/>
          <c:showCatName val="0"/>
          <c:showSerName val="0"/>
          <c:showPercent val="0"/>
          <c:showBubbleSize val="0"/>
        </c:dLbls>
        <c:gapWidth val="219"/>
        <c:overlap val="-27"/>
        <c:axId val="64798556"/>
        <c:axId val="74458134"/>
      </c:barChart>
      <c:lineChart>
        <c:grouping val="standard"/>
        <c:varyColors val="0"/>
        <c:ser>
          <c:idx val="1"/>
          <c:order val="1"/>
          <c:tx>
            <c:v>New orders</c:v>
          </c:tx>
          <c:spPr>
            <a:ln w="34920">
              <a:solidFill>
                <a:srgbClr val="ED7D31"/>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'MAIN-Analisys'!$B$1:$R$1</c:f>
              <c:strCache>
                <c:ptCount val="17"/>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strCache>
            </c:strRef>
          </c:cat>
          <c:val>
            <c:numRef>
              <c:f>'MAIN-Analisys'!$B$30:$AA$30</c:f>
              <c:numCache>
                <c:formatCode>General</c:formatCode>
                <c:ptCount val="26"/>
                <c:pt idx="0">
                  <c:v>-2</c:v>
                </c:pt>
                <c:pt idx="1">
                  <c:v>1</c:v>
                </c:pt>
                <c:pt idx="2">
                  <c:v>1</c:v>
                </c:pt>
                <c:pt idx="3">
                  <c:v>-1</c:v>
                </c:pt>
                <c:pt idx="4">
                  <c:v>4</c:v>
                </c:pt>
                <c:pt idx="5">
                  <c:v>2</c:v>
                </c:pt>
                <c:pt idx="6">
                  <c:v>0</c:v>
                </c:pt>
                <c:pt idx="7">
                  <c:v>2</c:v>
                </c:pt>
                <c:pt idx="8">
                  <c:v>2</c:v>
                </c:pt>
                <c:pt idx="9">
                  <c:v>10</c:v>
                </c:pt>
                <c:pt idx="10">
                  <c:v>6</c:v>
                </c:pt>
                <c:pt idx="11">
                  <c:v>3</c:v>
                </c:pt>
                <c:pt idx="12">
                  <c:v>13</c:v>
                </c:pt>
                <c:pt idx="13">
                  <c:v>4</c:v>
                </c:pt>
                <c:pt idx="14">
                  <c:v>11</c:v>
                </c:pt>
                <c:pt idx="15">
                  <c:v>2</c:v>
                </c:pt>
                <c:pt idx="16">
                  <c:v>0</c:v>
                </c:pt>
                <c:pt idx="17">
                  <c:v>-2</c:v>
                </c:pt>
                <c:pt idx="18">
                  <c:v>-1</c:v>
                </c:pt>
                <c:pt idx="19">
                  <c:v>6</c:v>
                </c:pt>
              </c:numCache>
            </c:numRef>
          </c:val>
          <c:smooth val="0"/>
          <c:extLst>
            <c:ext xmlns:c16="http://schemas.microsoft.com/office/drawing/2014/chart" uri="{C3380CC4-5D6E-409C-BE32-E72D297353CC}">
              <c16:uniqueId val="{00000001-7BE9-4E58-A195-48E625A76CF5}"/>
            </c:ext>
          </c:extLst>
        </c:ser>
        <c:ser>
          <c:idx val="2"/>
          <c:order val="2"/>
          <c:tx>
            <c:strRef>
              <c:f>'MAIN-Analisys'!$A$41:$A$41</c:f>
              <c:strCache>
                <c:ptCount val="1"/>
                <c:pt idx="0">
                  <c:v>Employment</c:v>
                </c:pt>
              </c:strCache>
            </c:strRef>
          </c:tx>
          <c:spPr>
            <a:ln w="34920">
              <a:solidFill>
                <a:srgbClr val="A5A5A5"/>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'MAIN-Analisys'!$B$1:$R$1</c:f>
              <c:strCache>
                <c:ptCount val="17"/>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strCache>
            </c:strRef>
          </c:cat>
          <c:val>
            <c:numRef>
              <c:f>'MAIN-Analisys'!$B$50:$AA$50</c:f>
              <c:numCache>
                <c:formatCode>General</c:formatCode>
                <c:ptCount val="26"/>
                <c:pt idx="0">
                  <c:v>-6</c:v>
                </c:pt>
                <c:pt idx="1">
                  <c:v>-4</c:v>
                </c:pt>
                <c:pt idx="2">
                  <c:v>-5</c:v>
                </c:pt>
                <c:pt idx="3">
                  <c:v>-3</c:v>
                </c:pt>
                <c:pt idx="4">
                  <c:v>-3</c:v>
                </c:pt>
                <c:pt idx="5">
                  <c:v>-5</c:v>
                </c:pt>
                <c:pt idx="6">
                  <c:v>2</c:v>
                </c:pt>
                <c:pt idx="7">
                  <c:v>-2</c:v>
                </c:pt>
                <c:pt idx="8">
                  <c:v>-2</c:v>
                </c:pt>
                <c:pt idx="9">
                  <c:v>0</c:v>
                </c:pt>
                <c:pt idx="10">
                  <c:v>0</c:v>
                </c:pt>
                <c:pt idx="11">
                  <c:v>10</c:v>
                </c:pt>
                <c:pt idx="12">
                  <c:v>-1</c:v>
                </c:pt>
                <c:pt idx="13">
                  <c:v>3</c:v>
                </c:pt>
                <c:pt idx="14">
                  <c:v>4</c:v>
                </c:pt>
                <c:pt idx="15">
                  <c:v>0</c:v>
                </c:pt>
                <c:pt idx="16">
                  <c:v>1</c:v>
                </c:pt>
                <c:pt idx="17">
                  <c:v>0</c:v>
                </c:pt>
                <c:pt idx="18">
                  <c:v>-1</c:v>
                </c:pt>
                <c:pt idx="19">
                  <c:v>-1</c:v>
                </c:pt>
              </c:numCache>
            </c:numRef>
          </c:val>
          <c:smooth val="0"/>
          <c:extLst>
            <c:ext xmlns:c16="http://schemas.microsoft.com/office/drawing/2014/chart" uri="{C3380CC4-5D6E-409C-BE32-E72D297353CC}">
              <c16:uniqueId val="{00000002-7BE9-4E58-A195-48E625A76CF5}"/>
            </c:ext>
          </c:extLst>
        </c:ser>
        <c:ser>
          <c:idx val="3"/>
          <c:order val="3"/>
          <c:tx>
            <c:strRef>
              <c:f>'MAIN-Analisys'!$A$61:$A$61</c:f>
              <c:strCache>
                <c:ptCount val="1"/>
                <c:pt idx="0">
                  <c:v>Deliveries</c:v>
                </c:pt>
              </c:strCache>
            </c:strRef>
          </c:tx>
          <c:spPr>
            <a:ln w="34920">
              <a:solidFill>
                <a:srgbClr val="FFC000"/>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'MAIN-Analisys'!$B$1:$R$1</c:f>
              <c:strCache>
                <c:ptCount val="17"/>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strCache>
            </c:strRef>
          </c:cat>
          <c:val>
            <c:numRef>
              <c:f>'MAIN-Analisys'!$B$70:$AA$70</c:f>
              <c:numCache>
                <c:formatCode>General</c:formatCode>
                <c:ptCount val="26"/>
                <c:pt idx="0">
                  <c:v>-7</c:v>
                </c:pt>
                <c:pt idx="1">
                  <c:v>-5</c:v>
                </c:pt>
                <c:pt idx="2">
                  <c:v>-5</c:v>
                </c:pt>
                <c:pt idx="3">
                  <c:v>-8</c:v>
                </c:pt>
                <c:pt idx="4">
                  <c:v>-1</c:v>
                </c:pt>
                <c:pt idx="5">
                  <c:v>-4</c:v>
                </c:pt>
                <c:pt idx="6">
                  <c:v>-2</c:v>
                </c:pt>
                <c:pt idx="7">
                  <c:v>-3</c:v>
                </c:pt>
                <c:pt idx="8">
                  <c:v>-8</c:v>
                </c:pt>
                <c:pt idx="9">
                  <c:v>-6</c:v>
                </c:pt>
                <c:pt idx="10">
                  <c:v>-2</c:v>
                </c:pt>
                <c:pt idx="11">
                  <c:v>-10</c:v>
                </c:pt>
                <c:pt idx="12">
                  <c:v>10</c:v>
                </c:pt>
                <c:pt idx="13">
                  <c:v>-8</c:v>
                </c:pt>
                <c:pt idx="14">
                  <c:v>-2</c:v>
                </c:pt>
                <c:pt idx="15">
                  <c:v>-4</c:v>
                </c:pt>
                <c:pt idx="16">
                  <c:v>-4</c:v>
                </c:pt>
                <c:pt idx="17">
                  <c:v>-2</c:v>
                </c:pt>
                <c:pt idx="18">
                  <c:v>-15</c:v>
                </c:pt>
                <c:pt idx="19">
                  <c:v>-12</c:v>
                </c:pt>
              </c:numCache>
            </c:numRef>
          </c:val>
          <c:smooth val="0"/>
          <c:extLst>
            <c:ext xmlns:c16="http://schemas.microsoft.com/office/drawing/2014/chart" uri="{C3380CC4-5D6E-409C-BE32-E72D297353CC}">
              <c16:uniqueId val="{00000003-7BE9-4E58-A195-48E625A76CF5}"/>
            </c:ext>
          </c:extLst>
        </c:ser>
        <c:ser>
          <c:idx val="4"/>
          <c:order val="4"/>
          <c:tx>
            <c:strRef>
              <c:f>'MAIN-Analisys'!$A$81:$A$81</c:f>
              <c:strCache>
                <c:ptCount val="1"/>
                <c:pt idx="0">
                  <c:v>Inventory</c:v>
                </c:pt>
              </c:strCache>
            </c:strRef>
          </c:tx>
          <c:spPr>
            <a:ln w="34920">
              <a:solidFill>
                <a:srgbClr val="4472C4"/>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'MAIN-Analisys'!$B$1:$R$1</c:f>
              <c:strCache>
                <c:ptCount val="17"/>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strCache>
            </c:strRef>
          </c:cat>
          <c:val>
            <c:numRef>
              <c:f>'MAIN-Analisys'!$B$90:$AA$90</c:f>
              <c:numCache>
                <c:formatCode>General</c:formatCode>
                <c:ptCount val="26"/>
                <c:pt idx="0">
                  <c:v>1</c:v>
                </c:pt>
                <c:pt idx="1">
                  <c:v>2</c:v>
                </c:pt>
                <c:pt idx="2">
                  <c:v>6</c:v>
                </c:pt>
                <c:pt idx="3">
                  <c:v>-1</c:v>
                </c:pt>
                <c:pt idx="4">
                  <c:v>-1</c:v>
                </c:pt>
                <c:pt idx="5">
                  <c:v>1</c:v>
                </c:pt>
                <c:pt idx="6">
                  <c:v>0</c:v>
                </c:pt>
                <c:pt idx="7">
                  <c:v>3</c:v>
                </c:pt>
                <c:pt idx="8">
                  <c:v>-1</c:v>
                </c:pt>
                <c:pt idx="9">
                  <c:v>-3</c:v>
                </c:pt>
                <c:pt idx="10">
                  <c:v>0</c:v>
                </c:pt>
                <c:pt idx="11">
                  <c:v>2</c:v>
                </c:pt>
                <c:pt idx="12">
                  <c:v>-4</c:v>
                </c:pt>
                <c:pt idx="13">
                  <c:v>-2</c:v>
                </c:pt>
                <c:pt idx="14">
                  <c:v>-1</c:v>
                </c:pt>
                <c:pt idx="15">
                  <c:v>-2</c:v>
                </c:pt>
                <c:pt idx="16">
                  <c:v>-2</c:v>
                </c:pt>
                <c:pt idx="17">
                  <c:v>1</c:v>
                </c:pt>
                <c:pt idx="18">
                  <c:v>2</c:v>
                </c:pt>
                <c:pt idx="19">
                  <c:v>-3</c:v>
                </c:pt>
              </c:numCache>
            </c:numRef>
          </c:val>
          <c:smooth val="0"/>
          <c:extLst>
            <c:ext xmlns:c16="http://schemas.microsoft.com/office/drawing/2014/chart" uri="{C3380CC4-5D6E-409C-BE32-E72D297353CC}">
              <c16:uniqueId val="{00000004-7BE9-4E58-A195-48E625A76CF5}"/>
            </c:ext>
          </c:extLst>
        </c:ser>
        <c:ser>
          <c:idx val="5"/>
          <c:order val="5"/>
          <c:tx>
            <c:strRef>
              <c:f>'MAIN-Analisys'!$A$101:$A$101</c:f>
              <c:strCache>
                <c:ptCount val="1"/>
                <c:pt idx="0">
                  <c:v>Prices</c:v>
                </c:pt>
              </c:strCache>
            </c:strRef>
          </c:tx>
          <c:spPr>
            <a:ln w="34920">
              <a:solidFill>
                <a:srgbClr val="70AD47"/>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'MAIN-Analisys'!$B$1:$R$1</c:f>
              <c:strCache>
                <c:ptCount val="17"/>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strCache>
            </c:strRef>
          </c:cat>
          <c:val>
            <c:numRef>
              <c:f>'MAIN-Analisys'!$B$110:$AA$110</c:f>
              <c:numCache>
                <c:formatCode>General</c:formatCode>
                <c:ptCount val="26"/>
                <c:pt idx="0">
                  <c:v>-3</c:v>
                </c:pt>
                <c:pt idx="1">
                  <c:v>-1</c:v>
                </c:pt>
                <c:pt idx="2">
                  <c:v>-2</c:v>
                </c:pt>
                <c:pt idx="3">
                  <c:v>3</c:v>
                </c:pt>
                <c:pt idx="4">
                  <c:v>1</c:v>
                </c:pt>
                <c:pt idx="5">
                  <c:v>0</c:v>
                </c:pt>
                <c:pt idx="6">
                  <c:v>-1</c:v>
                </c:pt>
                <c:pt idx="7">
                  <c:v>1</c:v>
                </c:pt>
                <c:pt idx="8">
                  <c:v>5</c:v>
                </c:pt>
                <c:pt idx="9">
                  <c:v>2</c:v>
                </c:pt>
                <c:pt idx="10">
                  <c:v>5</c:v>
                </c:pt>
                <c:pt idx="11">
                  <c:v>3</c:v>
                </c:pt>
                <c:pt idx="12">
                  <c:v>11</c:v>
                </c:pt>
                <c:pt idx="13">
                  <c:v>7</c:v>
                </c:pt>
                <c:pt idx="14">
                  <c:v>8</c:v>
                </c:pt>
                <c:pt idx="15">
                  <c:v>5</c:v>
                </c:pt>
                <c:pt idx="16">
                  <c:v>9</c:v>
                </c:pt>
                <c:pt idx="17">
                  <c:v>4</c:v>
                </c:pt>
                <c:pt idx="18">
                  <c:v>8</c:v>
                </c:pt>
                <c:pt idx="19">
                  <c:v>11</c:v>
                </c:pt>
              </c:numCache>
            </c:numRef>
          </c:val>
          <c:smooth val="0"/>
          <c:extLst>
            <c:ext xmlns:c16="http://schemas.microsoft.com/office/drawing/2014/chart" uri="{C3380CC4-5D6E-409C-BE32-E72D297353CC}">
              <c16:uniqueId val="{00000005-7BE9-4E58-A195-48E625A76CF5}"/>
            </c:ext>
          </c:extLst>
        </c:ser>
        <c:ser>
          <c:idx val="6"/>
          <c:order val="6"/>
          <c:tx>
            <c:v>Business Activity</c:v>
          </c:tx>
          <c:spPr>
            <a:ln>
              <a:solidFill>
                <a:schemeClr val="bg1"/>
              </a:solidFill>
            </a:ln>
          </c:spPr>
          <c:marker>
            <c:symbol val="none"/>
          </c:marker>
          <c:val>
            <c:numRef>
              <c:f>'MAIN-Analisys'!$B$130:$U$130</c:f>
              <c:numCache>
                <c:formatCode>General</c:formatCode>
                <c:ptCount val="20"/>
                <c:pt idx="0">
                  <c:v>-2</c:v>
                </c:pt>
                <c:pt idx="1">
                  <c:v>3</c:v>
                </c:pt>
                <c:pt idx="2">
                  <c:v>2</c:v>
                </c:pt>
                <c:pt idx="3">
                  <c:v>2</c:v>
                </c:pt>
                <c:pt idx="4">
                  <c:v>8</c:v>
                </c:pt>
                <c:pt idx="5">
                  <c:v>1</c:v>
                </c:pt>
                <c:pt idx="6">
                  <c:v>2</c:v>
                </c:pt>
                <c:pt idx="7">
                  <c:v>4</c:v>
                </c:pt>
                <c:pt idx="8">
                  <c:v>2</c:v>
                </c:pt>
                <c:pt idx="9">
                  <c:v>9</c:v>
                </c:pt>
                <c:pt idx="10">
                  <c:v>10</c:v>
                </c:pt>
                <c:pt idx="11">
                  <c:v>11</c:v>
                </c:pt>
                <c:pt idx="12">
                  <c:v>7</c:v>
                </c:pt>
                <c:pt idx="13">
                  <c:v>10</c:v>
                </c:pt>
                <c:pt idx="14">
                  <c:v>15</c:v>
                </c:pt>
                <c:pt idx="15">
                  <c:v>4</c:v>
                </c:pt>
                <c:pt idx="16">
                  <c:v>3</c:v>
                </c:pt>
                <c:pt idx="17">
                  <c:v>-5</c:v>
                </c:pt>
                <c:pt idx="19">
                  <c:v>7</c:v>
                </c:pt>
              </c:numCache>
            </c:numRef>
          </c:val>
          <c:smooth val="0"/>
          <c:extLst>
            <c:ext xmlns:c16="http://schemas.microsoft.com/office/drawing/2014/chart" uri="{C3380CC4-5D6E-409C-BE32-E72D297353CC}">
              <c16:uniqueId val="{00000001-C9C7-4F45-87D6-05AD361978B9}"/>
            </c:ext>
          </c:extLst>
        </c:ser>
        <c:dLbls>
          <c:showLegendKey val="0"/>
          <c:showVal val="0"/>
          <c:showCatName val="0"/>
          <c:showSerName val="0"/>
          <c:showPercent val="0"/>
          <c:showBubbleSize val="0"/>
        </c:dLbls>
        <c:hiLowLines>
          <c:spPr>
            <a:ln>
              <a:noFill/>
            </a:ln>
          </c:spPr>
        </c:hiLowLines>
        <c:marker val="1"/>
        <c:smooth val="0"/>
        <c:axId val="64798556"/>
        <c:axId val="74458134"/>
      </c:lineChart>
      <c:catAx>
        <c:axId val="64798556"/>
        <c:scaling>
          <c:orientation val="minMax"/>
        </c:scaling>
        <c:delete val="0"/>
        <c:axPos val="b"/>
        <c:numFmt formatCode="General" sourceLinked="1"/>
        <c:majorTickMark val="none"/>
        <c:minorTickMark val="none"/>
        <c:tickLblPos val="nextTo"/>
        <c:spPr>
          <a:ln w="12600">
            <a:solidFill>
              <a:srgbClr val="F2F2F2">
                <a:alpha val="54000"/>
              </a:srgbClr>
            </a:solidFill>
            <a:round/>
          </a:ln>
        </c:spPr>
        <c:txPr>
          <a:bodyPr/>
          <a:lstStyle/>
          <a:p>
            <a:pPr>
              <a:defRPr sz="900" b="0" strike="noStrike" spc="-1">
                <a:solidFill>
                  <a:srgbClr val="D9D9D9"/>
                </a:solidFill>
                <a:latin typeface="Calibri"/>
              </a:defRPr>
            </a:pPr>
            <a:endParaRPr lang="bg-BG"/>
          </a:p>
        </c:txPr>
        <c:crossAx val="74458134"/>
        <c:crosses val="autoZero"/>
        <c:auto val="1"/>
        <c:lblAlgn val="ctr"/>
        <c:lblOffset val="100"/>
        <c:noMultiLvlLbl val="1"/>
      </c:catAx>
      <c:valAx>
        <c:axId val="74458134"/>
        <c:scaling>
          <c:orientation val="minMax"/>
        </c:scaling>
        <c:delete val="0"/>
        <c:axPos val="l"/>
        <c:majorGridlines>
          <c:spPr>
            <a:ln w="9360">
              <a:solidFill>
                <a:srgbClr val="F2F2F2">
                  <a:alpha val="10000"/>
                </a:srgbClr>
              </a:solidFill>
              <a:round/>
            </a:ln>
          </c:spPr>
        </c:majorGridlines>
        <c:numFmt formatCode="General" sourceLinked="0"/>
        <c:majorTickMark val="none"/>
        <c:minorTickMark val="none"/>
        <c:tickLblPos val="nextTo"/>
        <c:spPr>
          <a:ln w="6480">
            <a:noFill/>
          </a:ln>
        </c:spPr>
        <c:txPr>
          <a:bodyPr/>
          <a:lstStyle/>
          <a:p>
            <a:pPr>
              <a:defRPr sz="900" b="0" strike="noStrike" spc="-1">
                <a:solidFill>
                  <a:srgbClr val="D9D9D9"/>
                </a:solidFill>
                <a:latin typeface="Calibri"/>
              </a:defRPr>
            </a:pPr>
            <a:endParaRPr lang="bg-BG"/>
          </a:p>
        </c:txPr>
        <c:crossAx val="64798556"/>
        <c:crosses val="autoZero"/>
        <c:crossBetween val="between"/>
      </c:valAx>
      <c:spPr>
        <a:noFill/>
        <a:ln>
          <a:noFill/>
        </a:ln>
      </c:spPr>
    </c:plotArea>
    <c:legend>
      <c:legendPos val="b"/>
      <c:overlay val="0"/>
      <c:spPr>
        <a:noFill/>
        <a:ln>
          <a:noFill/>
        </a:ln>
      </c:spPr>
      <c:txPr>
        <a:bodyPr/>
        <a:lstStyle/>
        <a:p>
          <a:pPr>
            <a:defRPr sz="900" b="0" strike="noStrike" spc="-1">
              <a:solidFill>
                <a:srgbClr val="D9D9D9"/>
              </a:solidFill>
              <a:latin typeface="Calibri"/>
            </a:defRPr>
          </a:pPr>
          <a:endParaRPr lang="bg-BG"/>
        </a:p>
      </c:txPr>
    </c:legend>
    <c:plotVisOnly val="1"/>
    <c:dispBlanksAs val="gap"/>
    <c:showDLblsOverMax val="1"/>
  </c:chart>
  <c:spPr>
    <a:gradFill>
      <a:gsLst>
        <a:gs pos="0">
          <a:srgbClr val="595959"/>
        </a:gs>
        <a:gs pos="100000">
          <a:srgbClr val="262626"/>
        </a:gs>
      </a:gsLst>
      <a:path path="circle"/>
    </a:gradFill>
    <a:ln>
      <a:noFill/>
    </a:ln>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600" b="1" strike="noStrike" spc="97">
                <a:solidFill>
                  <a:srgbClr val="F2F2F2"/>
                </a:solidFill>
                <a:latin typeface="Calibri"/>
              </a:defRPr>
            </a:pPr>
            <a:r>
              <a:rPr lang="en-US" sz="1600" b="1" strike="noStrike" spc="97">
                <a:solidFill>
                  <a:srgbClr val="F2F2F2"/>
                </a:solidFill>
                <a:latin typeface="Calibri"/>
              </a:rPr>
              <a:t>Professional, Scientific &amp; Technical Services</a:t>
            </a:r>
          </a:p>
        </c:rich>
      </c:tx>
      <c:overlay val="0"/>
      <c:spPr>
        <a:noFill/>
        <a:ln>
          <a:noFill/>
        </a:ln>
      </c:spPr>
    </c:title>
    <c:autoTitleDeleted val="0"/>
    <c:plotArea>
      <c:layout/>
      <c:barChart>
        <c:barDir val="col"/>
        <c:grouping val="clustered"/>
        <c:varyColors val="0"/>
        <c:ser>
          <c:idx val="0"/>
          <c:order val="0"/>
          <c:tx>
            <c:v>Main PMI</c:v>
          </c:tx>
          <c:spPr>
            <a:gradFill>
              <a:gsLst>
                <a:gs pos="0">
                  <a:srgbClr val="71A6DA"/>
                </a:gs>
                <a:gs pos="100000">
                  <a:srgbClr val="549ADA"/>
                </a:gs>
              </a:gsLst>
              <a:lin ang="5400000"/>
            </a:gradFill>
            <a:ln>
              <a:noFill/>
            </a:ln>
          </c:spPr>
          <c:invertIfNegative val="0"/>
          <c:dLbls>
            <c:spPr>
              <a:noFill/>
              <a:ln>
                <a:noFill/>
              </a:ln>
              <a:effectLst/>
            </c:spPr>
            <c:txPr>
              <a:bodyPr/>
              <a:lstStyle/>
              <a:p>
                <a:pPr>
                  <a:defRPr sz="1000" b="0" strike="noStrike" spc="-1">
                    <a:solidFill>
                      <a:srgbClr val="000000"/>
                    </a:solidFill>
                    <a:latin typeface="Calibri"/>
                  </a:defRPr>
                </a:pPr>
                <a:endParaRPr lang="bg-BG"/>
              </a:p>
            </c:txPr>
            <c:dLblPos val="outEnd"/>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'MAIN-Analisys'!$B$11:$AA$11</c:f>
              <c:numCache>
                <c:formatCode>General</c:formatCode>
                <c:ptCount val="26"/>
                <c:pt idx="0">
                  <c:v>1</c:v>
                </c:pt>
                <c:pt idx="1">
                  <c:v>-1</c:v>
                </c:pt>
                <c:pt idx="2">
                  <c:v>6</c:v>
                </c:pt>
                <c:pt idx="3">
                  <c:v>6</c:v>
                </c:pt>
                <c:pt idx="4">
                  <c:v>5</c:v>
                </c:pt>
                <c:pt idx="5">
                  <c:v>3</c:v>
                </c:pt>
                <c:pt idx="6">
                  <c:v>8</c:v>
                </c:pt>
                <c:pt idx="7">
                  <c:v>5</c:v>
                </c:pt>
                <c:pt idx="8">
                  <c:v>4</c:v>
                </c:pt>
                <c:pt idx="9">
                  <c:v>2</c:v>
                </c:pt>
                <c:pt idx="10">
                  <c:v>1</c:v>
                </c:pt>
                <c:pt idx="11">
                  <c:v>4</c:v>
                </c:pt>
                <c:pt idx="12">
                  <c:v>1</c:v>
                </c:pt>
                <c:pt idx="13">
                  <c:v>8</c:v>
                </c:pt>
                <c:pt idx="14">
                  <c:v>3</c:v>
                </c:pt>
                <c:pt idx="15">
                  <c:v>5</c:v>
                </c:pt>
                <c:pt idx="16">
                  <c:v>6</c:v>
                </c:pt>
                <c:pt idx="17">
                  <c:v>9</c:v>
                </c:pt>
                <c:pt idx="18">
                  <c:v>5</c:v>
                </c:pt>
                <c:pt idx="19">
                  <c:v>3</c:v>
                </c:pt>
              </c:numCache>
            </c:numRef>
          </c:val>
          <c:extLst>
            <c:ext xmlns:c16="http://schemas.microsoft.com/office/drawing/2014/chart" uri="{C3380CC4-5D6E-409C-BE32-E72D297353CC}">
              <c16:uniqueId val="{00000000-2119-4FC5-85DD-AFD71DFED70C}"/>
            </c:ext>
          </c:extLst>
        </c:ser>
        <c:dLbls>
          <c:showLegendKey val="0"/>
          <c:showVal val="0"/>
          <c:showCatName val="0"/>
          <c:showSerName val="0"/>
          <c:showPercent val="0"/>
          <c:showBubbleSize val="0"/>
        </c:dLbls>
        <c:gapWidth val="219"/>
        <c:overlap val="-27"/>
        <c:axId val="21843043"/>
        <c:axId val="19939388"/>
      </c:barChart>
      <c:lineChart>
        <c:grouping val="standard"/>
        <c:varyColors val="0"/>
        <c:ser>
          <c:idx val="1"/>
          <c:order val="1"/>
          <c:tx>
            <c:strRef>
              <c:f>'MAIN-Analisys'!$A$21:$A$21</c:f>
              <c:strCache>
                <c:ptCount val="1"/>
                <c:pt idx="0">
                  <c:v>New orders</c:v>
                </c:pt>
              </c:strCache>
            </c:strRef>
          </c:tx>
          <c:spPr>
            <a:ln w="34920">
              <a:solidFill>
                <a:srgbClr val="ED7D31"/>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'MAIN-Analisys'!$B$31:$AA$31</c:f>
              <c:numCache>
                <c:formatCode>General</c:formatCode>
                <c:ptCount val="26"/>
                <c:pt idx="0">
                  <c:v>-1</c:v>
                </c:pt>
                <c:pt idx="1">
                  <c:v>0</c:v>
                </c:pt>
                <c:pt idx="2">
                  <c:v>6</c:v>
                </c:pt>
                <c:pt idx="3">
                  <c:v>8</c:v>
                </c:pt>
                <c:pt idx="4">
                  <c:v>1</c:v>
                </c:pt>
                <c:pt idx="5">
                  <c:v>1</c:v>
                </c:pt>
                <c:pt idx="6">
                  <c:v>6</c:v>
                </c:pt>
                <c:pt idx="7">
                  <c:v>9</c:v>
                </c:pt>
                <c:pt idx="8">
                  <c:v>3</c:v>
                </c:pt>
                <c:pt idx="9">
                  <c:v>2</c:v>
                </c:pt>
                <c:pt idx="10">
                  <c:v>2</c:v>
                </c:pt>
                <c:pt idx="11">
                  <c:v>2</c:v>
                </c:pt>
                <c:pt idx="12">
                  <c:v>1</c:v>
                </c:pt>
                <c:pt idx="13">
                  <c:v>12</c:v>
                </c:pt>
                <c:pt idx="14">
                  <c:v>2</c:v>
                </c:pt>
                <c:pt idx="15">
                  <c:v>4</c:v>
                </c:pt>
                <c:pt idx="16">
                  <c:v>3</c:v>
                </c:pt>
                <c:pt idx="17">
                  <c:v>4</c:v>
                </c:pt>
                <c:pt idx="18">
                  <c:v>2</c:v>
                </c:pt>
                <c:pt idx="19">
                  <c:v>4</c:v>
                </c:pt>
              </c:numCache>
            </c:numRef>
          </c:val>
          <c:smooth val="0"/>
          <c:extLst>
            <c:ext xmlns:c16="http://schemas.microsoft.com/office/drawing/2014/chart" uri="{C3380CC4-5D6E-409C-BE32-E72D297353CC}">
              <c16:uniqueId val="{00000001-2119-4FC5-85DD-AFD71DFED70C}"/>
            </c:ext>
          </c:extLst>
        </c:ser>
        <c:ser>
          <c:idx val="2"/>
          <c:order val="2"/>
          <c:tx>
            <c:strRef>
              <c:f>'MAIN-Analisys'!$A$41:$A$41</c:f>
              <c:strCache>
                <c:ptCount val="1"/>
                <c:pt idx="0">
                  <c:v>Employment</c:v>
                </c:pt>
              </c:strCache>
            </c:strRef>
          </c:tx>
          <c:spPr>
            <a:ln w="34920">
              <a:solidFill>
                <a:srgbClr val="A5A5A5"/>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'MAIN-Analisys'!$B$51:$AA$51</c:f>
              <c:numCache>
                <c:formatCode>General</c:formatCode>
                <c:ptCount val="26"/>
                <c:pt idx="0">
                  <c:v>1</c:v>
                </c:pt>
                <c:pt idx="1">
                  <c:v>-3</c:v>
                </c:pt>
                <c:pt idx="2">
                  <c:v>-1</c:v>
                </c:pt>
                <c:pt idx="3">
                  <c:v>0</c:v>
                </c:pt>
                <c:pt idx="4">
                  <c:v>-6</c:v>
                </c:pt>
                <c:pt idx="5">
                  <c:v>-1</c:v>
                </c:pt>
                <c:pt idx="6">
                  <c:v>-1</c:v>
                </c:pt>
                <c:pt idx="7">
                  <c:v>1</c:v>
                </c:pt>
                <c:pt idx="8">
                  <c:v>2</c:v>
                </c:pt>
                <c:pt idx="9">
                  <c:v>0</c:v>
                </c:pt>
                <c:pt idx="10">
                  <c:v>2</c:v>
                </c:pt>
                <c:pt idx="11">
                  <c:v>2</c:v>
                </c:pt>
                <c:pt idx="12">
                  <c:v>1</c:v>
                </c:pt>
                <c:pt idx="13">
                  <c:v>7</c:v>
                </c:pt>
                <c:pt idx="14">
                  <c:v>1</c:v>
                </c:pt>
                <c:pt idx="15">
                  <c:v>1</c:v>
                </c:pt>
                <c:pt idx="16">
                  <c:v>0</c:v>
                </c:pt>
                <c:pt idx="17">
                  <c:v>3</c:v>
                </c:pt>
                <c:pt idx="18">
                  <c:v>2</c:v>
                </c:pt>
                <c:pt idx="19">
                  <c:v>4</c:v>
                </c:pt>
              </c:numCache>
            </c:numRef>
          </c:val>
          <c:smooth val="0"/>
          <c:extLst>
            <c:ext xmlns:c16="http://schemas.microsoft.com/office/drawing/2014/chart" uri="{C3380CC4-5D6E-409C-BE32-E72D297353CC}">
              <c16:uniqueId val="{00000002-2119-4FC5-85DD-AFD71DFED70C}"/>
            </c:ext>
          </c:extLst>
        </c:ser>
        <c:ser>
          <c:idx val="3"/>
          <c:order val="3"/>
          <c:tx>
            <c:strRef>
              <c:f>'MAIN-Analisys'!$A$61:$A$61</c:f>
              <c:strCache>
                <c:ptCount val="1"/>
                <c:pt idx="0">
                  <c:v>Deliveries</c:v>
                </c:pt>
              </c:strCache>
            </c:strRef>
          </c:tx>
          <c:spPr>
            <a:ln w="34920">
              <a:solidFill>
                <a:srgbClr val="FFC000"/>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'MAIN-Analisys'!$B$71:$AA$71</c:f>
              <c:numCache>
                <c:formatCode>General</c:formatCode>
                <c:ptCount val="26"/>
                <c:pt idx="0">
                  <c:v>-1</c:v>
                </c:pt>
                <c:pt idx="1">
                  <c:v>0</c:v>
                </c:pt>
                <c:pt idx="2">
                  <c:v>-7</c:v>
                </c:pt>
                <c:pt idx="3">
                  <c:v>-3</c:v>
                </c:pt>
                <c:pt idx="4">
                  <c:v>-12</c:v>
                </c:pt>
                <c:pt idx="5">
                  <c:v>-1</c:v>
                </c:pt>
                <c:pt idx="6">
                  <c:v>-3</c:v>
                </c:pt>
                <c:pt idx="7">
                  <c:v>-2</c:v>
                </c:pt>
                <c:pt idx="8">
                  <c:v>-5</c:v>
                </c:pt>
                <c:pt idx="9">
                  <c:v>-4</c:v>
                </c:pt>
                <c:pt idx="10">
                  <c:v>-3</c:v>
                </c:pt>
                <c:pt idx="11">
                  <c:v>-3</c:v>
                </c:pt>
                <c:pt idx="12">
                  <c:v>2</c:v>
                </c:pt>
                <c:pt idx="13">
                  <c:v>-2</c:v>
                </c:pt>
                <c:pt idx="14">
                  <c:v>-3</c:v>
                </c:pt>
                <c:pt idx="15">
                  <c:v>-3</c:v>
                </c:pt>
                <c:pt idx="16">
                  <c:v>-5</c:v>
                </c:pt>
                <c:pt idx="17">
                  <c:v>-1</c:v>
                </c:pt>
                <c:pt idx="18">
                  <c:v>-1</c:v>
                </c:pt>
                <c:pt idx="19">
                  <c:v>1</c:v>
                </c:pt>
              </c:numCache>
            </c:numRef>
          </c:val>
          <c:smooth val="0"/>
          <c:extLst>
            <c:ext xmlns:c16="http://schemas.microsoft.com/office/drawing/2014/chart" uri="{C3380CC4-5D6E-409C-BE32-E72D297353CC}">
              <c16:uniqueId val="{00000003-2119-4FC5-85DD-AFD71DFED70C}"/>
            </c:ext>
          </c:extLst>
        </c:ser>
        <c:ser>
          <c:idx val="4"/>
          <c:order val="4"/>
          <c:tx>
            <c:strRef>
              <c:f>'MAIN-Analisys'!$A$81:$A$81</c:f>
              <c:strCache>
                <c:ptCount val="1"/>
                <c:pt idx="0">
                  <c:v>Inventory</c:v>
                </c:pt>
              </c:strCache>
            </c:strRef>
          </c:tx>
          <c:spPr>
            <a:ln w="34920">
              <a:solidFill>
                <a:srgbClr val="4472C4"/>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'MAIN-Analisys'!$B$91:$AA$91</c:f>
              <c:numCache>
                <c:formatCode>General</c:formatCode>
                <c:ptCount val="26"/>
                <c:pt idx="0">
                  <c:v>0</c:v>
                </c:pt>
                <c:pt idx="1">
                  <c:v>0</c:v>
                </c:pt>
                <c:pt idx="2">
                  <c:v>0</c:v>
                </c:pt>
                <c:pt idx="3">
                  <c:v>-2</c:v>
                </c:pt>
                <c:pt idx="4">
                  <c:v>2</c:v>
                </c:pt>
                <c:pt idx="5">
                  <c:v>-1</c:v>
                </c:pt>
                <c:pt idx="6">
                  <c:v>0</c:v>
                </c:pt>
                <c:pt idx="7">
                  <c:v>-1</c:v>
                </c:pt>
                <c:pt idx="8">
                  <c:v>0</c:v>
                </c:pt>
                <c:pt idx="9">
                  <c:v>-2</c:v>
                </c:pt>
                <c:pt idx="10">
                  <c:v>1</c:v>
                </c:pt>
                <c:pt idx="11">
                  <c:v>1</c:v>
                </c:pt>
                <c:pt idx="12">
                  <c:v>-1</c:v>
                </c:pt>
                <c:pt idx="13">
                  <c:v>0</c:v>
                </c:pt>
                <c:pt idx="14">
                  <c:v>-2</c:v>
                </c:pt>
                <c:pt idx="15">
                  <c:v>-6</c:v>
                </c:pt>
                <c:pt idx="16">
                  <c:v>-1</c:v>
                </c:pt>
                <c:pt idx="17">
                  <c:v>0</c:v>
                </c:pt>
                <c:pt idx="18">
                  <c:v>-1</c:v>
                </c:pt>
                <c:pt idx="19">
                  <c:v>1</c:v>
                </c:pt>
              </c:numCache>
            </c:numRef>
          </c:val>
          <c:smooth val="0"/>
          <c:extLst>
            <c:ext xmlns:c16="http://schemas.microsoft.com/office/drawing/2014/chart" uri="{C3380CC4-5D6E-409C-BE32-E72D297353CC}">
              <c16:uniqueId val="{00000004-2119-4FC5-85DD-AFD71DFED70C}"/>
            </c:ext>
          </c:extLst>
        </c:ser>
        <c:ser>
          <c:idx val="5"/>
          <c:order val="5"/>
          <c:tx>
            <c:strRef>
              <c:f>'MAIN-Analisys'!$A$101:$A$101</c:f>
              <c:strCache>
                <c:ptCount val="1"/>
                <c:pt idx="0">
                  <c:v>Prices</c:v>
                </c:pt>
              </c:strCache>
            </c:strRef>
          </c:tx>
          <c:spPr>
            <a:ln w="34920">
              <a:solidFill>
                <a:srgbClr val="70AD47"/>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'MAIN-Analisys'!$B$111:$AA$111</c:f>
              <c:numCache>
                <c:formatCode>General</c:formatCode>
                <c:ptCount val="26"/>
                <c:pt idx="0">
                  <c:v>8</c:v>
                </c:pt>
                <c:pt idx="1">
                  <c:v>3</c:v>
                </c:pt>
                <c:pt idx="2">
                  <c:v>5</c:v>
                </c:pt>
                <c:pt idx="3">
                  <c:v>2</c:v>
                </c:pt>
                <c:pt idx="4">
                  <c:v>1</c:v>
                </c:pt>
                <c:pt idx="5">
                  <c:v>7</c:v>
                </c:pt>
                <c:pt idx="6">
                  <c:v>3</c:v>
                </c:pt>
                <c:pt idx="7">
                  <c:v>3</c:v>
                </c:pt>
                <c:pt idx="8">
                  <c:v>6</c:v>
                </c:pt>
                <c:pt idx="9">
                  <c:v>4</c:v>
                </c:pt>
                <c:pt idx="10">
                  <c:v>2</c:v>
                </c:pt>
                <c:pt idx="11">
                  <c:v>1</c:v>
                </c:pt>
                <c:pt idx="12">
                  <c:v>6</c:v>
                </c:pt>
                <c:pt idx="13">
                  <c:v>2</c:v>
                </c:pt>
                <c:pt idx="14">
                  <c:v>4</c:v>
                </c:pt>
                <c:pt idx="15">
                  <c:v>3</c:v>
                </c:pt>
                <c:pt idx="16">
                  <c:v>2</c:v>
                </c:pt>
                <c:pt idx="17">
                  <c:v>8</c:v>
                </c:pt>
                <c:pt idx="18">
                  <c:v>4</c:v>
                </c:pt>
                <c:pt idx="19">
                  <c:v>4</c:v>
                </c:pt>
              </c:numCache>
            </c:numRef>
          </c:val>
          <c:smooth val="0"/>
          <c:extLst>
            <c:ext xmlns:c16="http://schemas.microsoft.com/office/drawing/2014/chart" uri="{C3380CC4-5D6E-409C-BE32-E72D297353CC}">
              <c16:uniqueId val="{00000005-2119-4FC5-85DD-AFD71DFED70C}"/>
            </c:ext>
          </c:extLst>
        </c:ser>
        <c:ser>
          <c:idx val="6"/>
          <c:order val="6"/>
          <c:tx>
            <c:v>Business Activitu</c:v>
          </c:tx>
          <c:spPr>
            <a:ln>
              <a:solidFill>
                <a:schemeClr val="bg1"/>
              </a:solidFill>
            </a:ln>
          </c:spPr>
          <c:marker>
            <c:symbol val="none"/>
          </c:marker>
          <c:val>
            <c:numRef>
              <c:f>'MAIN-Analisys'!$B$131:$U$131</c:f>
              <c:numCache>
                <c:formatCode>General</c:formatCode>
                <c:ptCount val="20"/>
                <c:pt idx="0">
                  <c:v>0</c:v>
                </c:pt>
                <c:pt idx="1">
                  <c:v>1</c:v>
                </c:pt>
                <c:pt idx="2">
                  <c:v>4</c:v>
                </c:pt>
                <c:pt idx="3">
                  <c:v>8</c:v>
                </c:pt>
                <c:pt idx="4">
                  <c:v>2</c:v>
                </c:pt>
                <c:pt idx="5">
                  <c:v>4</c:v>
                </c:pt>
                <c:pt idx="6">
                  <c:v>1</c:v>
                </c:pt>
                <c:pt idx="7">
                  <c:v>1</c:v>
                </c:pt>
                <c:pt idx="8">
                  <c:v>4</c:v>
                </c:pt>
                <c:pt idx="9">
                  <c:v>2</c:v>
                </c:pt>
                <c:pt idx="10">
                  <c:v>1</c:v>
                </c:pt>
                <c:pt idx="11">
                  <c:v>4</c:v>
                </c:pt>
                <c:pt idx="12">
                  <c:v>1</c:v>
                </c:pt>
                <c:pt idx="13">
                  <c:v>11</c:v>
                </c:pt>
                <c:pt idx="14">
                  <c:v>2</c:v>
                </c:pt>
                <c:pt idx="15">
                  <c:v>2</c:v>
                </c:pt>
                <c:pt idx="16">
                  <c:v>2</c:v>
                </c:pt>
                <c:pt idx="17">
                  <c:v>3</c:v>
                </c:pt>
                <c:pt idx="18">
                  <c:v>4</c:v>
                </c:pt>
                <c:pt idx="19">
                  <c:v>1</c:v>
                </c:pt>
              </c:numCache>
            </c:numRef>
          </c:val>
          <c:smooth val="0"/>
          <c:extLst>
            <c:ext xmlns:c16="http://schemas.microsoft.com/office/drawing/2014/chart" uri="{C3380CC4-5D6E-409C-BE32-E72D297353CC}">
              <c16:uniqueId val="{00000001-090E-468C-94AA-37CDF41A5868}"/>
            </c:ext>
          </c:extLst>
        </c:ser>
        <c:dLbls>
          <c:showLegendKey val="0"/>
          <c:showVal val="0"/>
          <c:showCatName val="0"/>
          <c:showSerName val="0"/>
          <c:showPercent val="0"/>
          <c:showBubbleSize val="0"/>
        </c:dLbls>
        <c:hiLowLines>
          <c:spPr>
            <a:ln>
              <a:noFill/>
            </a:ln>
          </c:spPr>
        </c:hiLowLines>
        <c:marker val="1"/>
        <c:smooth val="0"/>
        <c:axId val="21843043"/>
        <c:axId val="19939388"/>
      </c:lineChart>
      <c:catAx>
        <c:axId val="21843043"/>
        <c:scaling>
          <c:orientation val="minMax"/>
        </c:scaling>
        <c:delete val="0"/>
        <c:axPos val="b"/>
        <c:numFmt formatCode="General" sourceLinked="1"/>
        <c:majorTickMark val="none"/>
        <c:minorTickMark val="none"/>
        <c:tickLblPos val="nextTo"/>
        <c:spPr>
          <a:ln w="12600">
            <a:solidFill>
              <a:srgbClr val="F2F2F2">
                <a:alpha val="54000"/>
              </a:srgbClr>
            </a:solidFill>
            <a:round/>
          </a:ln>
        </c:spPr>
        <c:txPr>
          <a:bodyPr/>
          <a:lstStyle/>
          <a:p>
            <a:pPr>
              <a:defRPr sz="900" b="0" strike="noStrike" spc="-1">
                <a:solidFill>
                  <a:srgbClr val="D9D9D9"/>
                </a:solidFill>
                <a:latin typeface="Calibri"/>
              </a:defRPr>
            </a:pPr>
            <a:endParaRPr lang="bg-BG"/>
          </a:p>
        </c:txPr>
        <c:crossAx val="19939388"/>
        <c:crosses val="autoZero"/>
        <c:auto val="1"/>
        <c:lblAlgn val="ctr"/>
        <c:lblOffset val="100"/>
        <c:noMultiLvlLbl val="1"/>
      </c:catAx>
      <c:valAx>
        <c:axId val="19939388"/>
        <c:scaling>
          <c:orientation val="minMax"/>
        </c:scaling>
        <c:delete val="0"/>
        <c:axPos val="l"/>
        <c:majorGridlines>
          <c:spPr>
            <a:ln w="9360">
              <a:solidFill>
                <a:srgbClr val="F2F2F2">
                  <a:alpha val="10000"/>
                </a:srgbClr>
              </a:solidFill>
              <a:round/>
            </a:ln>
          </c:spPr>
        </c:majorGridlines>
        <c:numFmt formatCode="General" sourceLinked="0"/>
        <c:majorTickMark val="none"/>
        <c:minorTickMark val="none"/>
        <c:tickLblPos val="nextTo"/>
        <c:spPr>
          <a:ln w="6480">
            <a:noFill/>
          </a:ln>
        </c:spPr>
        <c:txPr>
          <a:bodyPr/>
          <a:lstStyle/>
          <a:p>
            <a:pPr>
              <a:defRPr sz="900" b="0" strike="noStrike" spc="-1">
                <a:solidFill>
                  <a:srgbClr val="D9D9D9"/>
                </a:solidFill>
                <a:latin typeface="Calibri"/>
              </a:defRPr>
            </a:pPr>
            <a:endParaRPr lang="bg-BG"/>
          </a:p>
        </c:txPr>
        <c:crossAx val="21843043"/>
        <c:crosses val="autoZero"/>
        <c:crossBetween val="between"/>
      </c:valAx>
      <c:spPr>
        <a:noFill/>
        <a:ln>
          <a:noFill/>
        </a:ln>
      </c:spPr>
    </c:plotArea>
    <c:legend>
      <c:legendPos val="b"/>
      <c:overlay val="0"/>
      <c:spPr>
        <a:noFill/>
        <a:ln>
          <a:noFill/>
        </a:ln>
      </c:spPr>
      <c:txPr>
        <a:bodyPr/>
        <a:lstStyle/>
        <a:p>
          <a:pPr>
            <a:defRPr sz="900" b="0" strike="noStrike" spc="-1">
              <a:solidFill>
                <a:srgbClr val="D9D9D9"/>
              </a:solidFill>
              <a:latin typeface="Calibri"/>
            </a:defRPr>
          </a:pPr>
          <a:endParaRPr lang="bg-BG"/>
        </a:p>
      </c:txPr>
    </c:legend>
    <c:plotVisOnly val="1"/>
    <c:dispBlanksAs val="gap"/>
    <c:showDLblsOverMax val="1"/>
  </c:chart>
  <c:spPr>
    <a:gradFill>
      <a:gsLst>
        <a:gs pos="0">
          <a:srgbClr val="595959"/>
        </a:gs>
        <a:gs pos="100000">
          <a:srgbClr val="262626"/>
        </a:gs>
      </a:gsLst>
      <a:path path="circle"/>
    </a:gradFill>
    <a:ln>
      <a:noFill/>
    </a:ln>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600" b="1" strike="noStrike" spc="97">
                <a:solidFill>
                  <a:srgbClr val="F2F2F2"/>
                </a:solidFill>
                <a:latin typeface="Calibri"/>
              </a:defRPr>
            </a:pPr>
            <a:r>
              <a:rPr lang="en-US" sz="1600" b="1" strike="noStrike" spc="97">
                <a:solidFill>
                  <a:srgbClr val="F2F2F2"/>
                </a:solidFill>
                <a:latin typeface="Calibri"/>
              </a:rPr>
              <a:t>Mining</a:t>
            </a:r>
          </a:p>
        </c:rich>
      </c:tx>
      <c:overlay val="0"/>
      <c:spPr>
        <a:noFill/>
        <a:ln>
          <a:noFill/>
        </a:ln>
      </c:spPr>
    </c:title>
    <c:autoTitleDeleted val="0"/>
    <c:plotArea>
      <c:layout/>
      <c:barChart>
        <c:barDir val="col"/>
        <c:grouping val="clustered"/>
        <c:varyColors val="0"/>
        <c:ser>
          <c:idx val="0"/>
          <c:order val="0"/>
          <c:tx>
            <c:strRef>
              <c:f>'MAIN-Analisys'!$A$1:$A$1</c:f>
              <c:strCache>
                <c:ptCount val="1"/>
                <c:pt idx="0">
                  <c:v>Main Services PMI</c:v>
                </c:pt>
              </c:strCache>
            </c:strRef>
          </c:tx>
          <c:spPr>
            <a:gradFill>
              <a:gsLst>
                <a:gs pos="0">
                  <a:srgbClr val="71A6DA"/>
                </a:gs>
                <a:gs pos="100000">
                  <a:srgbClr val="549ADA"/>
                </a:gs>
              </a:gsLst>
              <a:lin ang="5400000"/>
            </a:gradFill>
            <a:ln>
              <a:noFill/>
            </a:ln>
          </c:spPr>
          <c:invertIfNegative val="0"/>
          <c:dLbls>
            <c:spPr>
              <a:noFill/>
              <a:ln>
                <a:noFill/>
              </a:ln>
              <a:effectLst/>
            </c:spPr>
            <c:txPr>
              <a:bodyPr/>
              <a:lstStyle/>
              <a:p>
                <a:pPr>
                  <a:defRPr sz="1000" b="0" strike="noStrike" spc="-1">
                    <a:solidFill>
                      <a:srgbClr val="000000"/>
                    </a:solidFill>
                    <a:latin typeface="Calibri"/>
                  </a:defRPr>
                </a:pPr>
                <a:endParaRPr lang="bg-BG"/>
              </a:p>
            </c:txPr>
            <c:dLblPos val="outEnd"/>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'MAIN-Analisys'!$B$12:$AA$12</c:f>
              <c:numCache>
                <c:formatCode>General</c:formatCode>
                <c:ptCount val="26"/>
                <c:pt idx="0">
                  <c:v>-3</c:v>
                </c:pt>
                <c:pt idx="1">
                  <c:v>0</c:v>
                </c:pt>
                <c:pt idx="2">
                  <c:v>7</c:v>
                </c:pt>
                <c:pt idx="3">
                  <c:v>3</c:v>
                </c:pt>
                <c:pt idx="4">
                  <c:v>4</c:v>
                </c:pt>
                <c:pt idx="5">
                  <c:v>4</c:v>
                </c:pt>
                <c:pt idx="6">
                  <c:v>1</c:v>
                </c:pt>
                <c:pt idx="7">
                  <c:v>16</c:v>
                </c:pt>
                <c:pt idx="8">
                  <c:v>6</c:v>
                </c:pt>
                <c:pt idx="9">
                  <c:v>12</c:v>
                </c:pt>
                <c:pt idx="10">
                  <c:v>8</c:v>
                </c:pt>
                <c:pt idx="11">
                  <c:v>1</c:v>
                </c:pt>
                <c:pt idx="12">
                  <c:v>12</c:v>
                </c:pt>
                <c:pt idx="13">
                  <c:v>9</c:v>
                </c:pt>
                <c:pt idx="14">
                  <c:v>1</c:v>
                </c:pt>
                <c:pt idx="15">
                  <c:v>11</c:v>
                </c:pt>
                <c:pt idx="16">
                  <c:v>-1</c:v>
                </c:pt>
                <c:pt idx="17">
                  <c:v>5</c:v>
                </c:pt>
                <c:pt idx="18">
                  <c:v>9</c:v>
                </c:pt>
                <c:pt idx="19">
                  <c:v>2</c:v>
                </c:pt>
              </c:numCache>
            </c:numRef>
          </c:val>
          <c:extLst>
            <c:ext xmlns:c16="http://schemas.microsoft.com/office/drawing/2014/chart" uri="{C3380CC4-5D6E-409C-BE32-E72D297353CC}">
              <c16:uniqueId val="{00000000-7C46-488C-88EA-89E6CBA37DA2}"/>
            </c:ext>
          </c:extLst>
        </c:ser>
        <c:dLbls>
          <c:showLegendKey val="0"/>
          <c:showVal val="0"/>
          <c:showCatName val="0"/>
          <c:showSerName val="0"/>
          <c:showPercent val="0"/>
          <c:showBubbleSize val="0"/>
        </c:dLbls>
        <c:gapWidth val="219"/>
        <c:overlap val="-27"/>
        <c:axId val="92574531"/>
        <c:axId val="63251723"/>
      </c:barChart>
      <c:lineChart>
        <c:grouping val="standard"/>
        <c:varyColors val="0"/>
        <c:ser>
          <c:idx val="1"/>
          <c:order val="1"/>
          <c:tx>
            <c:strRef>
              <c:f>'MAIN-Analisys'!$A$21:$A$21</c:f>
              <c:strCache>
                <c:ptCount val="1"/>
                <c:pt idx="0">
                  <c:v>New orders</c:v>
                </c:pt>
              </c:strCache>
            </c:strRef>
          </c:tx>
          <c:spPr>
            <a:ln w="34920">
              <a:solidFill>
                <a:srgbClr val="ED7D31"/>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'MAIN-Analisys'!$B$32:$AA$32</c:f>
              <c:numCache>
                <c:formatCode>General</c:formatCode>
                <c:ptCount val="26"/>
                <c:pt idx="0">
                  <c:v>-5</c:v>
                </c:pt>
                <c:pt idx="1">
                  <c:v>4</c:v>
                </c:pt>
                <c:pt idx="2">
                  <c:v>7</c:v>
                </c:pt>
                <c:pt idx="3">
                  <c:v>11</c:v>
                </c:pt>
                <c:pt idx="4">
                  <c:v>0</c:v>
                </c:pt>
                <c:pt idx="5">
                  <c:v>0</c:v>
                </c:pt>
                <c:pt idx="6">
                  <c:v>0</c:v>
                </c:pt>
                <c:pt idx="7">
                  <c:v>16</c:v>
                </c:pt>
                <c:pt idx="8">
                  <c:v>8</c:v>
                </c:pt>
                <c:pt idx="9">
                  <c:v>14</c:v>
                </c:pt>
                <c:pt idx="10">
                  <c:v>9</c:v>
                </c:pt>
                <c:pt idx="11">
                  <c:v>-1</c:v>
                </c:pt>
                <c:pt idx="12">
                  <c:v>7</c:v>
                </c:pt>
                <c:pt idx="13">
                  <c:v>11</c:v>
                </c:pt>
                <c:pt idx="14">
                  <c:v>0</c:v>
                </c:pt>
                <c:pt idx="15">
                  <c:v>13</c:v>
                </c:pt>
                <c:pt idx="16">
                  <c:v>-3</c:v>
                </c:pt>
                <c:pt idx="17">
                  <c:v>0</c:v>
                </c:pt>
                <c:pt idx="18">
                  <c:v>7</c:v>
                </c:pt>
                <c:pt idx="19">
                  <c:v>9</c:v>
                </c:pt>
              </c:numCache>
            </c:numRef>
          </c:val>
          <c:smooth val="0"/>
          <c:extLst>
            <c:ext xmlns:c16="http://schemas.microsoft.com/office/drawing/2014/chart" uri="{C3380CC4-5D6E-409C-BE32-E72D297353CC}">
              <c16:uniqueId val="{00000001-7C46-488C-88EA-89E6CBA37DA2}"/>
            </c:ext>
          </c:extLst>
        </c:ser>
        <c:ser>
          <c:idx val="2"/>
          <c:order val="2"/>
          <c:tx>
            <c:strRef>
              <c:f>'MAIN-Analisys'!$A$41:$A$41</c:f>
              <c:strCache>
                <c:ptCount val="1"/>
                <c:pt idx="0">
                  <c:v>Employment</c:v>
                </c:pt>
              </c:strCache>
            </c:strRef>
          </c:tx>
          <c:spPr>
            <a:ln w="34920">
              <a:solidFill>
                <a:srgbClr val="A5A5A5"/>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'MAIN-Analisys'!$B$52:$AA$52</c:f>
              <c:numCache>
                <c:formatCode>General</c:formatCode>
                <c:ptCount val="26"/>
                <c:pt idx="0">
                  <c:v>-9</c:v>
                </c:pt>
                <c:pt idx="1">
                  <c:v>-6</c:v>
                </c:pt>
                <c:pt idx="2">
                  <c:v>-6</c:v>
                </c:pt>
                <c:pt idx="3">
                  <c:v>-2</c:v>
                </c:pt>
                <c:pt idx="4">
                  <c:v>-8</c:v>
                </c:pt>
                <c:pt idx="5">
                  <c:v>0</c:v>
                </c:pt>
                <c:pt idx="6">
                  <c:v>-6</c:v>
                </c:pt>
                <c:pt idx="7">
                  <c:v>0</c:v>
                </c:pt>
                <c:pt idx="8">
                  <c:v>0</c:v>
                </c:pt>
                <c:pt idx="9">
                  <c:v>4</c:v>
                </c:pt>
                <c:pt idx="10">
                  <c:v>6</c:v>
                </c:pt>
                <c:pt idx="11">
                  <c:v>11</c:v>
                </c:pt>
                <c:pt idx="12">
                  <c:v>0</c:v>
                </c:pt>
                <c:pt idx="13">
                  <c:v>6</c:v>
                </c:pt>
                <c:pt idx="14">
                  <c:v>0</c:v>
                </c:pt>
                <c:pt idx="15">
                  <c:v>9</c:v>
                </c:pt>
                <c:pt idx="16">
                  <c:v>-3</c:v>
                </c:pt>
                <c:pt idx="17">
                  <c:v>0</c:v>
                </c:pt>
                <c:pt idx="18">
                  <c:v>0</c:v>
                </c:pt>
                <c:pt idx="19">
                  <c:v>-5</c:v>
                </c:pt>
              </c:numCache>
            </c:numRef>
          </c:val>
          <c:smooth val="0"/>
          <c:extLst>
            <c:ext xmlns:c16="http://schemas.microsoft.com/office/drawing/2014/chart" uri="{C3380CC4-5D6E-409C-BE32-E72D297353CC}">
              <c16:uniqueId val="{00000002-7C46-488C-88EA-89E6CBA37DA2}"/>
            </c:ext>
          </c:extLst>
        </c:ser>
        <c:ser>
          <c:idx val="3"/>
          <c:order val="3"/>
          <c:tx>
            <c:strRef>
              <c:f>'MAIN-Analisys'!$A$61:$A$61</c:f>
              <c:strCache>
                <c:ptCount val="1"/>
                <c:pt idx="0">
                  <c:v>Deliveries</c:v>
                </c:pt>
              </c:strCache>
            </c:strRef>
          </c:tx>
          <c:spPr>
            <a:ln w="34920">
              <a:solidFill>
                <a:srgbClr val="FFC000"/>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'MAIN-Analisys'!$B$72:$AA$72</c:f>
              <c:numCache>
                <c:formatCode>General</c:formatCode>
                <c:ptCount val="26"/>
                <c:pt idx="0">
                  <c:v>0</c:v>
                </c:pt>
                <c:pt idx="1">
                  <c:v>0</c:v>
                </c:pt>
                <c:pt idx="2">
                  <c:v>0</c:v>
                </c:pt>
                <c:pt idx="3">
                  <c:v>0</c:v>
                </c:pt>
                <c:pt idx="4">
                  <c:v>-8</c:v>
                </c:pt>
                <c:pt idx="5">
                  <c:v>-7</c:v>
                </c:pt>
                <c:pt idx="6">
                  <c:v>-8</c:v>
                </c:pt>
                <c:pt idx="7">
                  <c:v>-12</c:v>
                </c:pt>
                <c:pt idx="8">
                  <c:v>-6</c:v>
                </c:pt>
                <c:pt idx="9">
                  <c:v>-7</c:v>
                </c:pt>
                <c:pt idx="10">
                  <c:v>-10</c:v>
                </c:pt>
                <c:pt idx="11">
                  <c:v>-2</c:v>
                </c:pt>
                <c:pt idx="12">
                  <c:v>16</c:v>
                </c:pt>
                <c:pt idx="13">
                  <c:v>-14</c:v>
                </c:pt>
                <c:pt idx="14">
                  <c:v>0</c:v>
                </c:pt>
                <c:pt idx="15">
                  <c:v>-6</c:v>
                </c:pt>
                <c:pt idx="16">
                  <c:v>-10</c:v>
                </c:pt>
                <c:pt idx="17">
                  <c:v>-8</c:v>
                </c:pt>
                <c:pt idx="18">
                  <c:v>0</c:v>
                </c:pt>
                <c:pt idx="19">
                  <c:v>-9</c:v>
                </c:pt>
              </c:numCache>
            </c:numRef>
          </c:val>
          <c:smooth val="0"/>
          <c:extLst>
            <c:ext xmlns:c16="http://schemas.microsoft.com/office/drawing/2014/chart" uri="{C3380CC4-5D6E-409C-BE32-E72D297353CC}">
              <c16:uniqueId val="{00000003-7C46-488C-88EA-89E6CBA37DA2}"/>
            </c:ext>
          </c:extLst>
        </c:ser>
        <c:ser>
          <c:idx val="4"/>
          <c:order val="4"/>
          <c:tx>
            <c:strRef>
              <c:f>'MAIN-Analisys'!$A$81:$A$81</c:f>
              <c:strCache>
                <c:ptCount val="1"/>
                <c:pt idx="0">
                  <c:v>Inventory</c:v>
                </c:pt>
              </c:strCache>
            </c:strRef>
          </c:tx>
          <c:spPr>
            <a:ln w="34920">
              <a:solidFill>
                <a:srgbClr val="4472C4"/>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'MAIN-Analisys'!$B$92:$AA$92</c:f>
              <c:numCache>
                <c:formatCode>General</c:formatCode>
                <c:ptCount val="26"/>
                <c:pt idx="0">
                  <c:v>0</c:v>
                </c:pt>
                <c:pt idx="1">
                  <c:v>-5</c:v>
                </c:pt>
                <c:pt idx="2">
                  <c:v>-3</c:v>
                </c:pt>
                <c:pt idx="3">
                  <c:v>0</c:v>
                </c:pt>
                <c:pt idx="4">
                  <c:v>-4</c:v>
                </c:pt>
                <c:pt idx="5">
                  <c:v>-3</c:v>
                </c:pt>
                <c:pt idx="6">
                  <c:v>3</c:v>
                </c:pt>
                <c:pt idx="7">
                  <c:v>0</c:v>
                </c:pt>
                <c:pt idx="8">
                  <c:v>7</c:v>
                </c:pt>
                <c:pt idx="9">
                  <c:v>3</c:v>
                </c:pt>
                <c:pt idx="10">
                  <c:v>0</c:v>
                </c:pt>
                <c:pt idx="11">
                  <c:v>-3</c:v>
                </c:pt>
                <c:pt idx="12">
                  <c:v>-5</c:v>
                </c:pt>
                <c:pt idx="13">
                  <c:v>4</c:v>
                </c:pt>
                <c:pt idx="14">
                  <c:v>-5</c:v>
                </c:pt>
                <c:pt idx="15">
                  <c:v>-8</c:v>
                </c:pt>
                <c:pt idx="16">
                  <c:v>0</c:v>
                </c:pt>
                <c:pt idx="17">
                  <c:v>0</c:v>
                </c:pt>
                <c:pt idx="18">
                  <c:v>-5</c:v>
                </c:pt>
                <c:pt idx="19">
                  <c:v>8</c:v>
                </c:pt>
              </c:numCache>
            </c:numRef>
          </c:val>
          <c:smooth val="0"/>
          <c:extLst>
            <c:ext xmlns:c16="http://schemas.microsoft.com/office/drawing/2014/chart" uri="{C3380CC4-5D6E-409C-BE32-E72D297353CC}">
              <c16:uniqueId val="{00000004-7C46-488C-88EA-89E6CBA37DA2}"/>
            </c:ext>
          </c:extLst>
        </c:ser>
        <c:ser>
          <c:idx val="5"/>
          <c:order val="5"/>
          <c:tx>
            <c:strRef>
              <c:f>'MAIN-Analisys'!$A$101:$A$101</c:f>
              <c:strCache>
                <c:ptCount val="1"/>
                <c:pt idx="0">
                  <c:v>Prices</c:v>
                </c:pt>
              </c:strCache>
            </c:strRef>
          </c:tx>
          <c:spPr>
            <a:ln w="34920">
              <a:solidFill>
                <a:srgbClr val="70AD47"/>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'MAIN-Analisys'!$B$112:$AA$112</c:f>
              <c:numCache>
                <c:formatCode>General</c:formatCode>
                <c:ptCount val="26"/>
                <c:pt idx="0">
                  <c:v>5</c:v>
                </c:pt>
                <c:pt idx="1">
                  <c:v>0</c:v>
                </c:pt>
                <c:pt idx="2">
                  <c:v>2</c:v>
                </c:pt>
                <c:pt idx="3">
                  <c:v>6</c:v>
                </c:pt>
                <c:pt idx="4">
                  <c:v>4</c:v>
                </c:pt>
                <c:pt idx="5">
                  <c:v>11</c:v>
                </c:pt>
                <c:pt idx="6">
                  <c:v>11</c:v>
                </c:pt>
                <c:pt idx="7">
                  <c:v>15</c:v>
                </c:pt>
                <c:pt idx="8">
                  <c:v>10</c:v>
                </c:pt>
                <c:pt idx="9">
                  <c:v>7</c:v>
                </c:pt>
                <c:pt idx="10">
                  <c:v>10</c:v>
                </c:pt>
                <c:pt idx="11">
                  <c:v>15</c:v>
                </c:pt>
                <c:pt idx="12">
                  <c:v>13</c:v>
                </c:pt>
                <c:pt idx="13">
                  <c:v>5</c:v>
                </c:pt>
                <c:pt idx="14">
                  <c:v>2</c:v>
                </c:pt>
                <c:pt idx="15">
                  <c:v>18</c:v>
                </c:pt>
                <c:pt idx="16">
                  <c:v>17</c:v>
                </c:pt>
                <c:pt idx="17">
                  <c:v>9</c:v>
                </c:pt>
                <c:pt idx="18">
                  <c:v>10</c:v>
                </c:pt>
                <c:pt idx="19">
                  <c:v>16</c:v>
                </c:pt>
              </c:numCache>
            </c:numRef>
          </c:val>
          <c:smooth val="0"/>
          <c:extLst>
            <c:ext xmlns:c16="http://schemas.microsoft.com/office/drawing/2014/chart" uri="{C3380CC4-5D6E-409C-BE32-E72D297353CC}">
              <c16:uniqueId val="{00000005-7C46-488C-88EA-89E6CBA37DA2}"/>
            </c:ext>
          </c:extLst>
        </c:ser>
        <c:ser>
          <c:idx val="6"/>
          <c:order val="6"/>
          <c:tx>
            <c:v>Business Activity</c:v>
          </c:tx>
          <c:spPr>
            <a:ln>
              <a:solidFill>
                <a:schemeClr val="bg1"/>
              </a:solidFill>
            </a:ln>
          </c:spPr>
          <c:marker>
            <c:symbol val="none"/>
          </c:marker>
          <c:val>
            <c:numRef>
              <c:f>'MAIN-Analisys'!$B$132:$U$132</c:f>
              <c:numCache>
                <c:formatCode>General</c:formatCode>
                <c:ptCount val="20"/>
                <c:pt idx="0">
                  <c:v>-1</c:v>
                </c:pt>
                <c:pt idx="1">
                  <c:v>5</c:v>
                </c:pt>
                <c:pt idx="2">
                  <c:v>14</c:v>
                </c:pt>
                <c:pt idx="3">
                  <c:v>6</c:v>
                </c:pt>
                <c:pt idx="4">
                  <c:v>5</c:v>
                </c:pt>
                <c:pt idx="5">
                  <c:v>0</c:v>
                </c:pt>
                <c:pt idx="6">
                  <c:v>5</c:v>
                </c:pt>
                <c:pt idx="7">
                  <c:v>16</c:v>
                </c:pt>
                <c:pt idx="8">
                  <c:v>12</c:v>
                </c:pt>
                <c:pt idx="9">
                  <c:v>14</c:v>
                </c:pt>
                <c:pt idx="10">
                  <c:v>3</c:v>
                </c:pt>
                <c:pt idx="11">
                  <c:v>1</c:v>
                </c:pt>
                <c:pt idx="12">
                  <c:v>3</c:v>
                </c:pt>
                <c:pt idx="13">
                  <c:v>2</c:v>
                </c:pt>
                <c:pt idx="14">
                  <c:v>9</c:v>
                </c:pt>
                <c:pt idx="15">
                  <c:v>3</c:v>
                </c:pt>
                <c:pt idx="16">
                  <c:v>-3</c:v>
                </c:pt>
                <c:pt idx="17">
                  <c:v>0</c:v>
                </c:pt>
                <c:pt idx="18">
                  <c:v>10</c:v>
                </c:pt>
                <c:pt idx="19">
                  <c:v>0</c:v>
                </c:pt>
              </c:numCache>
            </c:numRef>
          </c:val>
          <c:smooth val="0"/>
          <c:extLst>
            <c:ext xmlns:c16="http://schemas.microsoft.com/office/drawing/2014/chart" uri="{C3380CC4-5D6E-409C-BE32-E72D297353CC}">
              <c16:uniqueId val="{00000001-0147-4D6D-B1A6-BDAFFFE82A99}"/>
            </c:ext>
          </c:extLst>
        </c:ser>
        <c:dLbls>
          <c:showLegendKey val="0"/>
          <c:showVal val="0"/>
          <c:showCatName val="0"/>
          <c:showSerName val="0"/>
          <c:showPercent val="0"/>
          <c:showBubbleSize val="0"/>
        </c:dLbls>
        <c:hiLowLines>
          <c:spPr>
            <a:ln>
              <a:noFill/>
            </a:ln>
          </c:spPr>
        </c:hiLowLines>
        <c:marker val="1"/>
        <c:smooth val="0"/>
        <c:axId val="92574531"/>
        <c:axId val="63251723"/>
      </c:lineChart>
      <c:catAx>
        <c:axId val="92574531"/>
        <c:scaling>
          <c:orientation val="minMax"/>
        </c:scaling>
        <c:delete val="0"/>
        <c:axPos val="b"/>
        <c:numFmt formatCode="General" sourceLinked="1"/>
        <c:majorTickMark val="none"/>
        <c:minorTickMark val="none"/>
        <c:tickLblPos val="nextTo"/>
        <c:spPr>
          <a:ln w="12600">
            <a:solidFill>
              <a:srgbClr val="F2F2F2">
                <a:alpha val="54000"/>
              </a:srgbClr>
            </a:solidFill>
            <a:round/>
          </a:ln>
        </c:spPr>
        <c:txPr>
          <a:bodyPr/>
          <a:lstStyle/>
          <a:p>
            <a:pPr>
              <a:defRPr sz="900" b="0" strike="noStrike" spc="-1">
                <a:solidFill>
                  <a:srgbClr val="D9D9D9"/>
                </a:solidFill>
                <a:latin typeface="Calibri"/>
              </a:defRPr>
            </a:pPr>
            <a:endParaRPr lang="bg-BG"/>
          </a:p>
        </c:txPr>
        <c:crossAx val="63251723"/>
        <c:crosses val="autoZero"/>
        <c:auto val="1"/>
        <c:lblAlgn val="ctr"/>
        <c:lblOffset val="100"/>
        <c:noMultiLvlLbl val="1"/>
      </c:catAx>
      <c:valAx>
        <c:axId val="63251723"/>
        <c:scaling>
          <c:orientation val="minMax"/>
        </c:scaling>
        <c:delete val="0"/>
        <c:axPos val="l"/>
        <c:majorGridlines>
          <c:spPr>
            <a:ln w="9360">
              <a:solidFill>
                <a:srgbClr val="F2F2F2">
                  <a:alpha val="10000"/>
                </a:srgbClr>
              </a:solidFill>
              <a:round/>
            </a:ln>
          </c:spPr>
        </c:majorGridlines>
        <c:numFmt formatCode="General" sourceLinked="0"/>
        <c:majorTickMark val="none"/>
        <c:minorTickMark val="none"/>
        <c:tickLblPos val="nextTo"/>
        <c:spPr>
          <a:ln w="6480">
            <a:noFill/>
          </a:ln>
        </c:spPr>
        <c:txPr>
          <a:bodyPr/>
          <a:lstStyle/>
          <a:p>
            <a:pPr>
              <a:defRPr sz="900" b="0" strike="noStrike" spc="-1">
                <a:solidFill>
                  <a:srgbClr val="D9D9D9"/>
                </a:solidFill>
                <a:latin typeface="Calibri"/>
              </a:defRPr>
            </a:pPr>
            <a:endParaRPr lang="bg-BG"/>
          </a:p>
        </c:txPr>
        <c:crossAx val="92574531"/>
        <c:crosses val="autoZero"/>
        <c:crossBetween val="between"/>
      </c:valAx>
      <c:spPr>
        <a:noFill/>
        <a:ln>
          <a:noFill/>
        </a:ln>
      </c:spPr>
    </c:plotArea>
    <c:legend>
      <c:legendPos val="b"/>
      <c:overlay val="0"/>
      <c:spPr>
        <a:noFill/>
        <a:ln>
          <a:noFill/>
        </a:ln>
      </c:spPr>
      <c:txPr>
        <a:bodyPr/>
        <a:lstStyle/>
        <a:p>
          <a:pPr>
            <a:defRPr sz="900" b="0" strike="noStrike" spc="-1">
              <a:solidFill>
                <a:srgbClr val="D9D9D9"/>
              </a:solidFill>
              <a:latin typeface="Calibri"/>
            </a:defRPr>
          </a:pPr>
          <a:endParaRPr lang="bg-BG"/>
        </a:p>
      </c:txPr>
    </c:legend>
    <c:plotVisOnly val="1"/>
    <c:dispBlanksAs val="gap"/>
    <c:showDLblsOverMax val="1"/>
  </c:chart>
  <c:spPr>
    <a:gradFill>
      <a:gsLst>
        <a:gs pos="0">
          <a:srgbClr val="595959"/>
        </a:gs>
        <a:gs pos="100000">
          <a:srgbClr val="262626"/>
        </a:gs>
      </a:gsLst>
      <a:path path="circle"/>
    </a:gradFill>
    <a:ln>
      <a:noFill/>
    </a:ln>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600" b="1" strike="noStrike" spc="97">
                <a:solidFill>
                  <a:srgbClr val="F2F2F2"/>
                </a:solidFill>
                <a:latin typeface="Calibri"/>
              </a:defRPr>
            </a:pPr>
            <a:r>
              <a:rPr lang="en-US" sz="1600" b="1" strike="noStrike" spc="97">
                <a:solidFill>
                  <a:srgbClr val="F2F2F2"/>
                </a:solidFill>
                <a:latin typeface="Calibri"/>
              </a:rPr>
              <a:t>Public Administration</a:t>
            </a:r>
          </a:p>
        </c:rich>
      </c:tx>
      <c:overlay val="0"/>
      <c:spPr>
        <a:noFill/>
        <a:ln>
          <a:noFill/>
        </a:ln>
      </c:spPr>
    </c:title>
    <c:autoTitleDeleted val="0"/>
    <c:plotArea>
      <c:layout/>
      <c:barChart>
        <c:barDir val="col"/>
        <c:grouping val="clustered"/>
        <c:varyColors val="0"/>
        <c:ser>
          <c:idx val="0"/>
          <c:order val="0"/>
          <c:tx>
            <c:strRef>
              <c:f>'MAIN-Analisys'!$A$1:$A$1</c:f>
              <c:strCache>
                <c:ptCount val="1"/>
                <c:pt idx="0">
                  <c:v>Main Services PMI</c:v>
                </c:pt>
              </c:strCache>
            </c:strRef>
          </c:tx>
          <c:spPr>
            <a:gradFill>
              <a:gsLst>
                <a:gs pos="0">
                  <a:srgbClr val="71A6DA"/>
                </a:gs>
                <a:gs pos="100000">
                  <a:srgbClr val="549ADA"/>
                </a:gs>
              </a:gsLst>
              <a:lin ang="5400000"/>
            </a:gradFill>
            <a:ln>
              <a:noFill/>
            </a:ln>
          </c:spPr>
          <c:invertIfNegative val="0"/>
          <c:dLbls>
            <c:spPr>
              <a:noFill/>
              <a:ln>
                <a:noFill/>
              </a:ln>
              <a:effectLst/>
            </c:spPr>
            <c:txPr>
              <a:bodyPr/>
              <a:lstStyle/>
              <a:p>
                <a:pPr>
                  <a:defRPr sz="1000" b="0" strike="noStrike" spc="-1">
                    <a:solidFill>
                      <a:srgbClr val="000000"/>
                    </a:solidFill>
                    <a:latin typeface="Calibri"/>
                  </a:defRPr>
                </a:pPr>
                <a:endParaRPr lang="bg-BG"/>
              </a:p>
            </c:txPr>
            <c:dLblPos val="outEnd"/>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'MAIN-Analisys'!$B$13:$AA$13</c:f>
              <c:numCache>
                <c:formatCode>General</c:formatCode>
                <c:ptCount val="26"/>
                <c:pt idx="0">
                  <c:v>6</c:v>
                </c:pt>
                <c:pt idx="1">
                  <c:v>7</c:v>
                </c:pt>
                <c:pt idx="2">
                  <c:v>-1</c:v>
                </c:pt>
                <c:pt idx="3">
                  <c:v>2</c:v>
                </c:pt>
                <c:pt idx="4">
                  <c:v>3</c:v>
                </c:pt>
                <c:pt idx="5">
                  <c:v>2</c:v>
                </c:pt>
                <c:pt idx="6">
                  <c:v>12</c:v>
                </c:pt>
                <c:pt idx="7">
                  <c:v>9</c:v>
                </c:pt>
                <c:pt idx="8">
                  <c:v>11</c:v>
                </c:pt>
                <c:pt idx="9">
                  <c:v>3</c:v>
                </c:pt>
                <c:pt idx="10">
                  <c:v>5</c:v>
                </c:pt>
                <c:pt idx="11">
                  <c:v>8</c:v>
                </c:pt>
                <c:pt idx="12">
                  <c:v>9</c:v>
                </c:pt>
                <c:pt idx="13">
                  <c:v>3</c:v>
                </c:pt>
                <c:pt idx="14">
                  <c:v>2</c:v>
                </c:pt>
                <c:pt idx="15">
                  <c:v>10</c:v>
                </c:pt>
                <c:pt idx="16">
                  <c:v>5</c:v>
                </c:pt>
                <c:pt idx="17">
                  <c:v>12</c:v>
                </c:pt>
                <c:pt idx="18">
                  <c:v>4</c:v>
                </c:pt>
                <c:pt idx="19">
                  <c:v>7</c:v>
                </c:pt>
              </c:numCache>
            </c:numRef>
          </c:val>
          <c:extLst>
            <c:ext xmlns:c16="http://schemas.microsoft.com/office/drawing/2014/chart" uri="{C3380CC4-5D6E-409C-BE32-E72D297353CC}">
              <c16:uniqueId val="{00000000-BF2B-4A63-848F-F287849BB646}"/>
            </c:ext>
          </c:extLst>
        </c:ser>
        <c:dLbls>
          <c:showLegendKey val="0"/>
          <c:showVal val="0"/>
          <c:showCatName val="0"/>
          <c:showSerName val="0"/>
          <c:showPercent val="0"/>
          <c:showBubbleSize val="0"/>
        </c:dLbls>
        <c:gapWidth val="219"/>
        <c:overlap val="-27"/>
        <c:axId val="26601052"/>
        <c:axId val="10012585"/>
      </c:barChart>
      <c:lineChart>
        <c:grouping val="standard"/>
        <c:varyColors val="0"/>
        <c:ser>
          <c:idx val="1"/>
          <c:order val="1"/>
          <c:tx>
            <c:strRef>
              <c:f>'MAIN-Analisys'!$A$21:$A$21</c:f>
              <c:strCache>
                <c:ptCount val="1"/>
                <c:pt idx="0">
                  <c:v>New orders</c:v>
                </c:pt>
              </c:strCache>
            </c:strRef>
          </c:tx>
          <c:spPr>
            <a:ln w="34920">
              <a:solidFill>
                <a:srgbClr val="ED7D31"/>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'MAIN-Analisys'!$B$33:$AA$33</c:f>
              <c:numCache>
                <c:formatCode>General</c:formatCode>
                <c:ptCount val="26"/>
                <c:pt idx="0">
                  <c:v>10</c:v>
                </c:pt>
                <c:pt idx="1">
                  <c:v>3</c:v>
                </c:pt>
                <c:pt idx="2">
                  <c:v>0</c:v>
                </c:pt>
                <c:pt idx="3">
                  <c:v>1</c:v>
                </c:pt>
                <c:pt idx="4">
                  <c:v>2</c:v>
                </c:pt>
                <c:pt idx="5">
                  <c:v>0</c:v>
                </c:pt>
                <c:pt idx="6">
                  <c:v>8</c:v>
                </c:pt>
                <c:pt idx="7">
                  <c:v>11</c:v>
                </c:pt>
                <c:pt idx="8">
                  <c:v>11</c:v>
                </c:pt>
                <c:pt idx="9">
                  <c:v>1</c:v>
                </c:pt>
                <c:pt idx="10">
                  <c:v>4</c:v>
                </c:pt>
                <c:pt idx="11">
                  <c:v>11</c:v>
                </c:pt>
                <c:pt idx="12">
                  <c:v>4</c:v>
                </c:pt>
                <c:pt idx="13">
                  <c:v>9</c:v>
                </c:pt>
                <c:pt idx="14">
                  <c:v>1</c:v>
                </c:pt>
                <c:pt idx="15">
                  <c:v>11</c:v>
                </c:pt>
                <c:pt idx="16">
                  <c:v>1</c:v>
                </c:pt>
                <c:pt idx="17">
                  <c:v>8</c:v>
                </c:pt>
                <c:pt idx="18">
                  <c:v>4</c:v>
                </c:pt>
                <c:pt idx="19">
                  <c:v>2</c:v>
                </c:pt>
              </c:numCache>
            </c:numRef>
          </c:val>
          <c:smooth val="0"/>
          <c:extLst>
            <c:ext xmlns:c16="http://schemas.microsoft.com/office/drawing/2014/chart" uri="{C3380CC4-5D6E-409C-BE32-E72D297353CC}">
              <c16:uniqueId val="{00000001-BF2B-4A63-848F-F287849BB646}"/>
            </c:ext>
          </c:extLst>
        </c:ser>
        <c:ser>
          <c:idx val="2"/>
          <c:order val="2"/>
          <c:tx>
            <c:strRef>
              <c:f>'MAIN-Analisys'!$A$41:$A$41</c:f>
              <c:strCache>
                <c:ptCount val="1"/>
                <c:pt idx="0">
                  <c:v>Employment</c:v>
                </c:pt>
              </c:strCache>
            </c:strRef>
          </c:tx>
          <c:spPr>
            <a:ln w="34920">
              <a:solidFill>
                <a:srgbClr val="A5A5A5"/>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'MAIN-Analisys'!$B$53:$AA$53</c:f>
              <c:numCache>
                <c:formatCode>General</c:formatCode>
                <c:ptCount val="26"/>
                <c:pt idx="0">
                  <c:v>-4</c:v>
                </c:pt>
                <c:pt idx="1">
                  <c:v>2</c:v>
                </c:pt>
                <c:pt idx="2">
                  <c:v>-4</c:v>
                </c:pt>
                <c:pt idx="3">
                  <c:v>-1</c:v>
                </c:pt>
                <c:pt idx="4">
                  <c:v>0</c:v>
                </c:pt>
                <c:pt idx="5">
                  <c:v>2</c:v>
                </c:pt>
                <c:pt idx="6">
                  <c:v>3</c:v>
                </c:pt>
                <c:pt idx="7">
                  <c:v>3</c:v>
                </c:pt>
                <c:pt idx="8">
                  <c:v>4</c:v>
                </c:pt>
                <c:pt idx="9">
                  <c:v>2</c:v>
                </c:pt>
                <c:pt idx="10">
                  <c:v>5</c:v>
                </c:pt>
                <c:pt idx="11">
                  <c:v>4</c:v>
                </c:pt>
                <c:pt idx="12">
                  <c:v>0</c:v>
                </c:pt>
                <c:pt idx="13">
                  <c:v>-1</c:v>
                </c:pt>
                <c:pt idx="14">
                  <c:v>-3</c:v>
                </c:pt>
                <c:pt idx="15">
                  <c:v>0</c:v>
                </c:pt>
                <c:pt idx="16">
                  <c:v>3</c:v>
                </c:pt>
                <c:pt idx="17">
                  <c:v>-2</c:v>
                </c:pt>
                <c:pt idx="18">
                  <c:v>-6</c:v>
                </c:pt>
                <c:pt idx="19">
                  <c:v>3</c:v>
                </c:pt>
              </c:numCache>
            </c:numRef>
          </c:val>
          <c:smooth val="0"/>
          <c:extLst>
            <c:ext xmlns:c16="http://schemas.microsoft.com/office/drawing/2014/chart" uri="{C3380CC4-5D6E-409C-BE32-E72D297353CC}">
              <c16:uniqueId val="{00000002-BF2B-4A63-848F-F287849BB646}"/>
            </c:ext>
          </c:extLst>
        </c:ser>
        <c:ser>
          <c:idx val="3"/>
          <c:order val="3"/>
          <c:tx>
            <c:strRef>
              <c:f>'MAIN-Analisys'!$A$61:$A$61</c:f>
              <c:strCache>
                <c:ptCount val="1"/>
                <c:pt idx="0">
                  <c:v>Deliveries</c:v>
                </c:pt>
              </c:strCache>
            </c:strRef>
          </c:tx>
          <c:spPr>
            <a:ln w="34920">
              <a:solidFill>
                <a:srgbClr val="FFC000"/>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'MAIN-Analisys'!$B$73:$AA$73</c:f>
              <c:numCache>
                <c:formatCode>General</c:formatCode>
                <c:ptCount val="26"/>
                <c:pt idx="0">
                  <c:v>-6</c:v>
                </c:pt>
                <c:pt idx="1">
                  <c:v>-3</c:v>
                </c:pt>
                <c:pt idx="2">
                  <c:v>0</c:v>
                </c:pt>
                <c:pt idx="3">
                  <c:v>-2</c:v>
                </c:pt>
                <c:pt idx="4">
                  <c:v>-3</c:v>
                </c:pt>
                <c:pt idx="5">
                  <c:v>0</c:v>
                </c:pt>
                <c:pt idx="6">
                  <c:v>-4</c:v>
                </c:pt>
                <c:pt idx="7">
                  <c:v>-1</c:v>
                </c:pt>
                <c:pt idx="8">
                  <c:v>-2</c:v>
                </c:pt>
                <c:pt idx="9">
                  <c:v>-2</c:v>
                </c:pt>
                <c:pt idx="10">
                  <c:v>-4</c:v>
                </c:pt>
                <c:pt idx="11">
                  <c:v>-9</c:v>
                </c:pt>
                <c:pt idx="12">
                  <c:v>9</c:v>
                </c:pt>
                <c:pt idx="13">
                  <c:v>-12</c:v>
                </c:pt>
                <c:pt idx="14">
                  <c:v>-5</c:v>
                </c:pt>
                <c:pt idx="15">
                  <c:v>-12</c:v>
                </c:pt>
                <c:pt idx="16">
                  <c:v>-3</c:v>
                </c:pt>
                <c:pt idx="17">
                  <c:v>-4</c:v>
                </c:pt>
                <c:pt idx="18">
                  <c:v>-7</c:v>
                </c:pt>
                <c:pt idx="19">
                  <c:v>-8</c:v>
                </c:pt>
              </c:numCache>
            </c:numRef>
          </c:val>
          <c:smooth val="0"/>
          <c:extLst>
            <c:ext xmlns:c16="http://schemas.microsoft.com/office/drawing/2014/chart" uri="{C3380CC4-5D6E-409C-BE32-E72D297353CC}">
              <c16:uniqueId val="{00000003-BF2B-4A63-848F-F287849BB646}"/>
            </c:ext>
          </c:extLst>
        </c:ser>
        <c:ser>
          <c:idx val="4"/>
          <c:order val="4"/>
          <c:tx>
            <c:strRef>
              <c:f>'MAIN-Analisys'!$A$81:$A$81</c:f>
              <c:strCache>
                <c:ptCount val="1"/>
                <c:pt idx="0">
                  <c:v>Inventory</c:v>
                </c:pt>
              </c:strCache>
            </c:strRef>
          </c:tx>
          <c:spPr>
            <a:ln w="34920">
              <a:solidFill>
                <a:srgbClr val="4472C4"/>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'MAIN-Analisys'!$B$93:$AA$93</c:f>
              <c:numCache>
                <c:formatCode>General</c:formatCode>
                <c:ptCount val="26"/>
                <c:pt idx="0">
                  <c:v>0</c:v>
                </c:pt>
                <c:pt idx="1">
                  <c:v>1</c:v>
                </c:pt>
                <c:pt idx="2">
                  <c:v>1</c:v>
                </c:pt>
                <c:pt idx="3">
                  <c:v>1</c:v>
                </c:pt>
                <c:pt idx="4">
                  <c:v>3</c:v>
                </c:pt>
                <c:pt idx="5">
                  <c:v>2</c:v>
                </c:pt>
                <c:pt idx="6">
                  <c:v>2</c:v>
                </c:pt>
                <c:pt idx="7">
                  <c:v>-3</c:v>
                </c:pt>
                <c:pt idx="8">
                  <c:v>1</c:v>
                </c:pt>
                <c:pt idx="9">
                  <c:v>-4</c:v>
                </c:pt>
                <c:pt idx="10">
                  <c:v>-3</c:v>
                </c:pt>
                <c:pt idx="11">
                  <c:v>0</c:v>
                </c:pt>
                <c:pt idx="12">
                  <c:v>-2</c:v>
                </c:pt>
                <c:pt idx="13">
                  <c:v>-1</c:v>
                </c:pt>
                <c:pt idx="14">
                  <c:v>0</c:v>
                </c:pt>
                <c:pt idx="15">
                  <c:v>4</c:v>
                </c:pt>
                <c:pt idx="16">
                  <c:v>0</c:v>
                </c:pt>
                <c:pt idx="17">
                  <c:v>-1</c:v>
                </c:pt>
                <c:pt idx="18">
                  <c:v>1</c:v>
                </c:pt>
                <c:pt idx="19">
                  <c:v>0</c:v>
                </c:pt>
              </c:numCache>
            </c:numRef>
          </c:val>
          <c:smooth val="0"/>
          <c:extLst>
            <c:ext xmlns:c16="http://schemas.microsoft.com/office/drawing/2014/chart" uri="{C3380CC4-5D6E-409C-BE32-E72D297353CC}">
              <c16:uniqueId val="{00000004-BF2B-4A63-848F-F287849BB646}"/>
            </c:ext>
          </c:extLst>
        </c:ser>
        <c:ser>
          <c:idx val="5"/>
          <c:order val="5"/>
          <c:tx>
            <c:strRef>
              <c:f>'MAIN-Analisys'!$A$101:$A$101</c:f>
              <c:strCache>
                <c:ptCount val="1"/>
                <c:pt idx="0">
                  <c:v>Prices</c:v>
                </c:pt>
              </c:strCache>
            </c:strRef>
          </c:tx>
          <c:spPr>
            <a:ln w="34920">
              <a:solidFill>
                <a:srgbClr val="70AD47"/>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'MAIN-Analisys'!$B$113:$AA$113</c:f>
              <c:numCache>
                <c:formatCode>General</c:formatCode>
                <c:ptCount val="26"/>
                <c:pt idx="0">
                  <c:v>1</c:v>
                </c:pt>
                <c:pt idx="1">
                  <c:v>0</c:v>
                </c:pt>
                <c:pt idx="2">
                  <c:v>6</c:v>
                </c:pt>
                <c:pt idx="3">
                  <c:v>4</c:v>
                </c:pt>
                <c:pt idx="4">
                  <c:v>3</c:v>
                </c:pt>
                <c:pt idx="5">
                  <c:v>6</c:v>
                </c:pt>
                <c:pt idx="6">
                  <c:v>8</c:v>
                </c:pt>
                <c:pt idx="7">
                  <c:v>12</c:v>
                </c:pt>
                <c:pt idx="8">
                  <c:v>7</c:v>
                </c:pt>
                <c:pt idx="9">
                  <c:v>10</c:v>
                </c:pt>
                <c:pt idx="10">
                  <c:v>3</c:v>
                </c:pt>
                <c:pt idx="11">
                  <c:v>5</c:v>
                </c:pt>
                <c:pt idx="12">
                  <c:v>12</c:v>
                </c:pt>
                <c:pt idx="13">
                  <c:v>11</c:v>
                </c:pt>
                <c:pt idx="14">
                  <c:v>12</c:v>
                </c:pt>
                <c:pt idx="15">
                  <c:v>12</c:v>
                </c:pt>
                <c:pt idx="16">
                  <c:v>7</c:v>
                </c:pt>
                <c:pt idx="17">
                  <c:v>7</c:v>
                </c:pt>
                <c:pt idx="18">
                  <c:v>13</c:v>
                </c:pt>
                <c:pt idx="19">
                  <c:v>7</c:v>
                </c:pt>
              </c:numCache>
            </c:numRef>
          </c:val>
          <c:smooth val="0"/>
          <c:extLst>
            <c:ext xmlns:c16="http://schemas.microsoft.com/office/drawing/2014/chart" uri="{C3380CC4-5D6E-409C-BE32-E72D297353CC}">
              <c16:uniqueId val="{00000005-BF2B-4A63-848F-F287849BB646}"/>
            </c:ext>
          </c:extLst>
        </c:ser>
        <c:ser>
          <c:idx val="6"/>
          <c:order val="6"/>
          <c:tx>
            <c:v>Business Activity</c:v>
          </c:tx>
          <c:spPr>
            <a:ln>
              <a:solidFill>
                <a:schemeClr val="bg1"/>
              </a:solidFill>
            </a:ln>
          </c:spPr>
          <c:marker>
            <c:symbol val="none"/>
          </c:marker>
          <c:val>
            <c:numRef>
              <c:f>'MAIN-Analisys'!$B$133:$U$133</c:f>
              <c:numCache>
                <c:formatCode>General</c:formatCode>
                <c:ptCount val="20"/>
                <c:pt idx="0">
                  <c:v>7</c:v>
                </c:pt>
                <c:pt idx="1">
                  <c:v>6</c:v>
                </c:pt>
                <c:pt idx="2">
                  <c:v>-1</c:v>
                </c:pt>
                <c:pt idx="3">
                  <c:v>3</c:v>
                </c:pt>
                <c:pt idx="4">
                  <c:v>0</c:v>
                </c:pt>
                <c:pt idx="5">
                  <c:v>3</c:v>
                </c:pt>
                <c:pt idx="6">
                  <c:v>10</c:v>
                </c:pt>
                <c:pt idx="7">
                  <c:v>8</c:v>
                </c:pt>
                <c:pt idx="8">
                  <c:v>14</c:v>
                </c:pt>
                <c:pt idx="9">
                  <c:v>1</c:v>
                </c:pt>
                <c:pt idx="10">
                  <c:v>7</c:v>
                </c:pt>
                <c:pt idx="11">
                  <c:v>8</c:v>
                </c:pt>
                <c:pt idx="12">
                  <c:v>15</c:v>
                </c:pt>
                <c:pt idx="13">
                  <c:v>5</c:v>
                </c:pt>
                <c:pt idx="14">
                  <c:v>1</c:v>
                </c:pt>
                <c:pt idx="15">
                  <c:v>9</c:v>
                </c:pt>
                <c:pt idx="16">
                  <c:v>1</c:v>
                </c:pt>
                <c:pt idx="17">
                  <c:v>5</c:v>
                </c:pt>
                <c:pt idx="18">
                  <c:v>6</c:v>
                </c:pt>
                <c:pt idx="19">
                  <c:v>5</c:v>
                </c:pt>
              </c:numCache>
            </c:numRef>
          </c:val>
          <c:smooth val="0"/>
          <c:extLst>
            <c:ext xmlns:c16="http://schemas.microsoft.com/office/drawing/2014/chart" uri="{C3380CC4-5D6E-409C-BE32-E72D297353CC}">
              <c16:uniqueId val="{00000001-E1A3-445E-AC27-463300A9A976}"/>
            </c:ext>
          </c:extLst>
        </c:ser>
        <c:dLbls>
          <c:showLegendKey val="0"/>
          <c:showVal val="0"/>
          <c:showCatName val="0"/>
          <c:showSerName val="0"/>
          <c:showPercent val="0"/>
          <c:showBubbleSize val="0"/>
        </c:dLbls>
        <c:hiLowLines>
          <c:spPr>
            <a:ln>
              <a:noFill/>
            </a:ln>
          </c:spPr>
        </c:hiLowLines>
        <c:marker val="1"/>
        <c:smooth val="0"/>
        <c:axId val="26601052"/>
        <c:axId val="10012585"/>
      </c:lineChart>
      <c:catAx>
        <c:axId val="26601052"/>
        <c:scaling>
          <c:orientation val="minMax"/>
        </c:scaling>
        <c:delete val="0"/>
        <c:axPos val="b"/>
        <c:numFmt formatCode="General" sourceLinked="1"/>
        <c:majorTickMark val="none"/>
        <c:minorTickMark val="none"/>
        <c:tickLblPos val="nextTo"/>
        <c:spPr>
          <a:ln w="12600">
            <a:solidFill>
              <a:srgbClr val="F2F2F2">
                <a:alpha val="54000"/>
              </a:srgbClr>
            </a:solidFill>
            <a:round/>
          </a:ln>
        </c:spPr>
        <c:txPr>
          <a:bodyPr/>
          <a:lstStyle/>
          <a:p>
            <a:pPr>
              <a:defRPr sz="900" b="0" strike="noStrike" spc="-1">
                <a:solidFill>
                  <a:srgbClr val="D9D9D9"/>
                </a:solidFill>
                <a:latin typeface="Calibri"/>
              </a:defRPr>
            </a:pPr>
            <a:endParaRPr lang="bg-BG"/>
          </a:p>
        </c:txPr>
        <c:crossAx val="10012585"/>
        <c:crosses val="autoZero"/>
        <c:auto val="1"/>
        <c:lblAlgn val="ctr"/>
        <c:lblOffset val="100"/>
        <c:noMultiLvlLbl val="1"/>
      </c:catAx>
      <c:valAx>
        <c:axId val="10012585"/>
        <c:scaling>
          <c:orientation val="minMax"/>
        </c:scaling>
        <c:delete val="0"/>
        <c:axPos val="l"/>
        <c:majorGridlines>
          <c:spPr>
            <a:ln w="9360">
              <a:solidFill>
                <a:srgbClr val="F2F2F2">
                  <a:alpha val="10000"/>
                </a:srgbClr>
              </a:solidFill>
              <a:round/>
            </a:ln>
          </c:spPr>
        </c:majorGridlines>
        <c:numFmt formatCode="General" sourceLinked="0"/>
        <c:majorTickMark val="none"/>
        <c:minorTickMark val="none"/>
        <c:tickLblPos val="nextTo"/>
        <c:spPr>
          <a:ln w="6480">
            <a:noFill/>
          </a:ln>
        </c:spPr>
        <c:txPr>
          <a:bodyPr/>
          <a:lstStyle/>
          <a:p>
            <a:pPr>
              <a:defRPr sz="900" b="0" strike="noStrike" spc="-1">
                <a:solidFill>
                  <a:srgbClr val="D9D9D9"/>
                </a:solidFill>
                <a:latin typeface="Calibri"/>
              </a:defRPr>
            </a:pPr>
            <a:endParaRPr lang="bg-BG"/>
          </a:p>
        </c:txPr>
        <c:crossAx val="26601052"/>
        <c:crosses val="autoZero"/>
        <c:crossBetween val="between"/>
      </c:valAx>
      <c:spPr>
        <a:noFill/>
        <a:ln>
          <a:noFill/>
        </a:ln>
      </c:spPr>
    </c:plotArea>
    <c:legend>
      <c:legendPos val="b"/>
      <c:overlay val="0"/>
      <c:spPr>
        <a:noFill/>
        <a:ln>
          <a:noFill/>
        </a:ln>
      </c:spPr>
      <c:txPr>
        <a:bodyPr/>
        <a:lstStyle/>
        <a:p>
          <a:pPr>
            <a:defRPr sz="900" b="0" strike="noStrike" spc="-1">
              <a:solidFill>
                <a:srgbClr val="D9D9D9"/>
              </a:solidFill>
              <a:latin typeface="Calibri"/>
            </a:defRPr>
          </a:pPr>
          <a:endParaRPr lang="bg-BG"/>
        </a:p>
      </c:txPr>
    </c:legend>
    <c:plotVisOnly val="1"/>
    <c:dispBlanksAs val="gap"/>
    <c:showDLblsOverMax val="1"/>
  </c:chart>
  <c:spPr>
    <a:gradFill>
      <a:gsLst>
        <a:gs pos="0">
          <a:srgbClr val="595959"/>
        </a:gs>
        <a:gs pos="100000">
          <a:srgbClr val="262626"/>
        </a:gs>
      </a:gsLst>
      <a:path path="circle"/>
    </a:gradFill>
    <a:ln>
      <a:noFill/>
    </a:ln>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600" b="1" strike="noStrike" spc="97">
                <a:solidFill>
                  <a:srgbClr val="F2F2F2"/>
                </a:solidFill>
                <a:latin typeface="Calibri"/>
              </a:defRPr>
            </a:pPr>
            <a:r>
              <a:rPr lang="en-US" sz="1600" b="1" strike="noStrike" spc="97">
                <a:solidFill>
                  <a:srgbClr val="F2F2F2"/>
                </a:solidFill>
                <a:latin typeface="Calibri"/>
              </a:rPr>
              <a:t>Construction</a:t>
            </a:r>
          </a:p>
        </c:rich>
      </c:tx>
      <c:overlay val="0"/>
      <c:spPr>
        <a:noFill/>
        <a:ln>
          <a:noFill/>
        </a:ln>
      </c:spPr>
    </c:title>
    <c:autoTitleDeleted val="0"/>
    <c:plotArea>
      <c:layout/>
      <c:barChart>
        <c:barDir val="col"/>
        <c:grouping val="clustered"/>
        <c:varyColors val="0"/>
        <c:ser>
          <c:idx val="0"/>
          <c:order val="0"/>
          <c:tx>
            <c:strRef>
              <c:f>'MAIN-Analisys'!$A$1:$A$1</c:f>
              <c:strCache>
                <c:ptCount val="1"/>
                <c:pt idx="0">
                  <c:v>Main Services PMI</c:v>
                </c:pt>
              </c:strCache>
            </c:strRef>
          </c:tx>
          <c:spPr>
            <a:gradFill>
              <a:gsLst>
                <a:gs pos="0">
                  <a:srgbClr val="71A6DA"/>
                </a:gs>
                <a:gs pos="100000">
                  <a:srgbClr val="549ADA"/>
                </a:gs>
              </a:gsLst>
              <a:lin ang="5400000"/>
            </a:gradFill>
            <a:ln>
              <a:noFill/>
            </a:ln>
          </c:spPr>
          <c:invertIfNegative val="0"/>
          <c:dLbls>
            <c:spPr>
              <a:noFill/>
              <a:ln>
                <a:noFill/>
              </a:ln>
              <a:effectLst/>
            </c:spPr>
            <c:txPr>
              <a:bodyPr/>
              <a:lstStyle/>
              <a:p>
                <a:pPr>
                  <a:defRPr sz="1000" b="0" strike="noStrike" spc="-1">
                    <a:solidFill>
                      <a:srgbClr val="000000"/>
                    </a:solidFill>
                    <a:latin typeface="Calibri"/>
                  </a:defRPr>
                </a:pPr>
                <a:endParaRPr lang="bg-BG"/>
              </a:p>
            </c:txPr>
            <c:dLblPos val="outEnd"/>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'MAIN-Analisys'!$B$14:$AA$14</c:f>
              <c:numCache>
                <c:formatCode>General</c:formatCode>
                <c:ptCount val="26"/>
                <c:pt idx="0">
                  <c:v>9</c:v>
                </c:pt>
                <c:pt idx="1">
                  <c:v>8</c:v>
                </c:pt>
                <c:pt idx="2">
                  <c:v>15</c:v>
                </c:pt>
                <c:pt idx="3">
                  <c:v>9</c:v>
                </c:pt>
                <c:pt idx="4">
                  <c:v>2</c:v>
                </c:pt>
                <c:pt idx="5">
                  <c:v>13</c:v>
                </c:pt>
                <c:pt idx="6">
                  <c:v>14</c:v>
                </c:pt>
                <c:pt idx="7">
                  <c:v>14</c:v>
                </c:pt>
                <c:pt idx="8">
                  <c:v>14</c:v>
                </c:pt>
                <c:pt idx="9">
                  <c:v>16</c:v>
                </c:pt>
                <c:pt idx="10">
                  <c:v>7</c:v>
                </c:pt>
                <c:pt idx="11">
                  <c:v>7</c:v>
                </c:pt>
                <c:pt idx="12">
                  <c:v>15</c:v>
                </c:pt>
                <c:pt idx="13">
                  <c:v>10</c:v>
                </c:pt>
                <c:pt idx="14">
                  <c:v>12</c:v>
                </c:pt>
                <c:pt idx="15">
                  <c:v>9</c:v>
                </c:pt>
                <c:pt idx="16">
                  <c:v>14</c:v>
                </c:pt>
                <c:pt idx="17">
                  <c:v>15</c:v>
                </c:pt>
                <c:pt idx="18">
                  <c:v>14</c:v>
                </c:pt>
                <c:pt idx="19">
                  <c:v>14</c:v>
                </c:pt>
              </c:numCache>
            </c:numRef>
          </c:val>
          <c:extLst>
            <c:ext xmlns:c16="http://schemas.microsoft.com/office/drawing/2014/chart" uri="{C3380CC4-5D6E-409C-BE32-E72D297353CC}">
              <c16:uniqueId val="{00000000-6EBD-46AD-B312-9B190CF34B9C}"/>
            </c:ext>
          </c:extLst>
        </c:ser>
        <c:dLbls>
          <c:showLegendKey val="0"/>
          <c:showVal val="0"/>
          <c:showCatName val="0"/>
          <c:showSerName val="0"/>
          <c:showPercent val="0"/>
          <c:showBubbleSize val="0"/>
        </c:dLbls>
        <c:gapWidth val="219"/>
        <c:overlap val="-27"/>
        <c:axId val="74542687"/>
        <c:axId val="49137353"/>
      </c:barChart>
      <c:lineChart>
        <c:grouping val="standard"/>
        <c:varyColors val="0"/>
        <c:ser>
          <c:idx val="1"/>
          <c:order val="1"/>
          <c:tx>
            <c:strRef>
              <c:f>'MAIN-Analisys'!$A$21:$A$21</c:f>
              <c:strCache>
                <c:ptCount val="1"/>
                <c:pt idx="0">
                  <c:v>New orders</c:v>
                </c:pt>
              </c:strCache>
            </c:strRef>
          </c:tx>
          <c:spPr>
            <a:ln w="34920">
              <a:solidFill>
                <a:srgbClr val="ED7D31"/>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'MAIN-Analisys'!$B$34:$AA$34</c:f>
              <c:numCache>
                <c:formatCode>General</c:formatCode>
                <c:ptCount val="26"/>
                <c:pt idx="0">
                  <c:v>1</c:v>
                </c:pt>
                <c:pt idx="1">
                  <c:v>0</c:v>
                </c:pt>
                <c:pt idx="2">
                  <c:v>14</c:v>
                </c:pt>
                <c:pt idx="3">
                  <c:v>7</c:v>
                </c:pt>
                <c:pt idx="4">
                  <c:v>3</c:v>
                </c:pt>
                <c:pt idx="5">
                  <c:v>4</c:v>
                </c:pt>
                <c:pt idx="6">
                  <c:v>9</c:v>
                </c:pt>
                <c:pt idx="7">
                  <c:v>3</c:v>
                </c:pt>
                <c:pt idx="8">
                  <c:v>7</c:v>
                </c:pt>
                <c:pt idx="9">
                  <c:v>13</c:v>
                </c:pt>
                <c:pt idx="10">
                  <c:v>1</c:v>
                </c:pt>
                <c:pt idx="11">
                  <c:v>1</c:v>
                </c:pt>
                <c:pt idx="12">
                  <c:v>9</c:v>
                </c:pt>
                <c:pt idx="13">
                  <c:v>8</c:v>
                </c:pt>
                <c:pt idx="14">
                  <c:v>5</c:v>
                </c:pt>
                <c:pt idx="15">
                  <c:v>15</c:v>
                </c:pt>
                <c:pt idx="16">
                  <c:v>0</c:v>
                </c:pt>
                <c:pt idx="17">
                  <c:v>9</c:v>
                </c:pt>
                <c:pt idx="18">
                  <c:v>10</c:v>
                </c:pt>
                <c:pt idx="19">
                  <c:v>7</c:v>
                </c:pt>
              </c:numCache>
            </c:numRef>
          </c:val>
          <c:smooth val="0"/>
          <c:extLst>
            <c:ext xmlns:c16="http://schemas.microsoft.com/office/drawing/2014/chart" uri="{C3380CC4-5D6E-409C-BE32-E72D297353CC}">
              <c16:uniqueId val="{00000001-6EBD-46AD-B312-9B190CF34B9C}"/>
            </c:ext>
          </c:extLst>
        </c:ser>
        <c:ser>
          <c:idx val="2"/>
          <c:order val="2"/>
          <c:tx>
            <c:strRef>
              <c:f>'MAIN-Analisys'!$A$41:$A$41</c:f>
              <c:strCache>
                <c:ptCount val="1"/>
                <c:pt idx="0">
                  <c:v>Employment</c:v>
                </c:pt>
              </c:strCache>
            </c:strRef>
          </c:tx>
          <c:spPr>
            <a:ln w="34920">
              <a:solidFill>
                <a:srgbClr val="A5A5A5"/>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'MAIN-Analisys'!$B$54:$AA$54</c:f>
              <c:numCache>
                <c:formatCode>General</c:formatCode>
                <c:ptCount val="26"/>
                <c:pt idx="0">
                  <c:v>0</c:v>
                </c:pt>
                <c:pt idx="1">
                  <c:v>1</c:v>
                </c:pt>
                <c:pt idx="2">
                  <c:v>1</c:v>
                </c:pt>
                <c:pt idx="3">
                  <c:v>5</c:v>
                </c:pt>
                <c:pt idx="4">
                  <c:v>-2</c:v>
                </c:pt>
                <c:pt idx="5">
                  <c:v>6</c:v>
                </c:pt>
                <c:pt idx="6">
                  <c:v>7</c:v>
                </c:pt>
                <c:pt idx="7">
                  <c:v>7</c:v>
                </c:pt>
                <c:pt idx="8">
                  <c:v>8</c:v>
                </c:pt>
                <c:pt idx="9">
                  <c:v>7</c:v>
                </c:pt>
                <c:pt idx="10">
                  <c:v>1</c:v>
                </c:pt>
                <c:pt idx="11">
                  <c:v>6</c:v>
                </c:pt>
                <c:pt idx="12">
                  <c:v>2</c:v>
                </c:pt>
                <c:pt idx="13">
                  <c:v>12</c:v>
                </c:pt>
                <c:pt idx="14">
                  <c:v>9</c:v>
                </c:pt>
                <c:pt idx="15">
                  <c:v>-1</c:v>
                </c:pt>
                <c:pt idx="16">
                  <c:v>2</c:v>
                </c:pt>
                <c:pt idx="17">
                  <c:v>5</c:v>
                </c:pt>
                <c:pt idx="18">
                  <c:v>6</c:v>
                </c:pt>
                <c:pt idx="19">
                  <c:v>11</c:v>
                </c:pt>
              </c:numCache>
            </c:numRef>
          </c:val>
          <c:smooth val="0"/>
          <c:extLst>
            <c:ext xmlns:c16="http://schemas.microsoft.com/office/drawing/2014/chart" uri="{C3380CC4-5D6E-409C-BE32-E72D297353CC}">
              <c16:uniqueId val="{00000002-6EBD-46AD-B312-9B190CF34B9C}"/>
            </c:ext>
          </c:extLst>
        </c:ser>
        <c:ser>
          <c:idx val="3"/>
          <c:order val="3"/>
          <c:tx>
            <c:strRef>
              <c:f>'MAIN-Analisys'!$A$61:$A$61</c:f>
              <c:strCache>
                <c:ptCount val="1"/>
                <c:pt idx="0">
                  <c:v>Deliveries</c:v>
                </c:pt>
              </c:strCache>
            </c:strRef>
          </c:tx>
          <c:spPr>
            <a:ln w="34920">
              <a:solidFill>
                <a:srgbClr val="FFC000"/>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'MAIN-Analisys'!$B$74:$AA$74</c:f>
              <c:numCache>
                <c:formatCode>General</c:formatCode>
                <c:ptCount val="26"/>
                <c:pt idx="0">
                  <c:v>-14</c:v>
                </c:pt>
                <c:pt idx="1">
                  <c:v>-11</c:v>
                </c:pt>
                <c:pt idx="2">
                  <c:v>-9</c:v>
                </c:pt>
                <c:pt idx="3">
                  <c:v>-11</c:v>
                </c:pt>
                <c:pt idx="4">
                  <c:v>-7</c:v>
                </c:pt>
                <c:pt idx="5">
                  <c:v>-5</c:v>
                </c:pt>
                <c:pt idx="6">
                  <c:v>-14</c:v>
                </c:pt>
                <c:pt idx="7">
                  <c:v>-10</c:v>
                </c:pt>
                <c:pt idx="8">
                  <c:v>-16</c:v>
                </c:pt>
                <c:pt idx="9">
                  <c:v>-13</c:v>
                </c:pt>
                <c:pt idx="10">
                  <c:v>-15</c:v>
                </c:pt>
                <c:pt idx="11">
                  <c:v>-8</c:v>
                </c:pt>
                <c:pt idx="12">
                  <c:v>14</c:v>
                </c:pt>
                <c:pt idx="13">
                  <c:v>-9</c:v>
                </c:pt>
                <c:pt idx="14">
                  <c:v>-14</c:v>
                </c:pt>
                <c:pt idx="15">
                  <c:v>-14</c:v>
                </c:pt>
                <c:pt idx="16">
                  <c:v>-12</c:v>
                </c:pt>
                <c:pt idx="17">
                  <c:v>-13</c:v>
                </c:pt>
                <c:pt idx="18">
                  <c:v>-13</c:v>
                </c:pt>
                <c:pt idx="19">
                  <c:v>-11</c:v>
                </c:pt>
              </c:numCache>
            </c:numRef>
          </c:val>
          <c:smooth val="0"/>
          <c:extLst>
            <c:ext xmlns:c16="http://schemas.microsoft.com/office/drawing/2014/chart" uri="{C3380CC4-5D6E-409C-BE32-E72D297353CC}">
              <c16:uniqueId val="{00000003-6EBD-46AD-B312-9B190CF34B9C}"/>
            </c:ext>
          </c:extLst>
        </c:ser>
        <c:ser>
          <c:idx val="4"/>
          <c:order val="4"/>
          <c:tx>
            <c:strRef>
              <c:f>'MAIN-Analisys'!$A$81:$A$81</c:f>
              <c:strCache>
                <c:ptCount val="1"/>
                <c:pt idx="0">
                  <c:v>Inventory</c:v>
                </c:pt>
              </c:strCache>
            </c:strRef>
          </c:tx>
          <c:spPr>
            <a:ln w="34920">
              <a:solidFill>
                <a:srgbClr val="4472C4"/>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'MAIN-Analisys'!$B$94:$AA$94</c:f>
              <c:numCache>
                <c:formatCode>General</c:formatCode>
                <c:ptCount val="26"/>
                <c:pt idx="0">
                  <c:v>-1</c:v>
                </c:pt>
                <c:pt idx="1">
                  <c:v>-1</c:v>
                </c:pt>
                <c:pt idx="2">
                  <c:v>-2</c:v>
                </c:pt>
                <c:pt idx="3">
                  <c:v>0</c:v>
                </c:pt>
                <c:pt idx="4">
                  <c:v>-3</c:v>
                </c:pt>
                <c:pt idx="5">
                  <c:v>0</c:v>
                </c:pt>
                <c:pt idx="6">
                  <c:v>-3</c:v>
                </c:pt>
                <c:pt idx="7">
                  <c:v>4</c:v>
                </c:pt>
                <c:pt idx="8">
                  <c:v>-4</c:v>
                </c:pt>
                <c:pt idx="9">
                  <c:v>0</c:v>
                </c:pt>
                <c:pt idx="10">
                  <c:v>-1</c:v>
                </c:pt>
                <c:pt idx="11">
                  <c:v>0</c:v>
                </c:pt>
                <c:pt idx="12">
                  <c:v>3</c:v>
                </c:pt>
                <c:pt idx="13">
                  <c:v>7</c:v>
                </c:pt>
                <c:pt idx="14">
                  <c:v>4</c:v>
                </c:pt>
                <c:pt idx="15">
                  <c:v>3</c:v>
                </c:pt>
                <c:pt idx="16">
                  <c:v>-3</c:v>
                </c:pt>
                <c:pt idx="17">
                  <c:v>5</c:v>
                </c:pt>
                <c:pt idx="18">
                  <c:v>-6</c:v>
                </c:pt>
                <c:pt idx="19">
                  <c:v>0</c:v>
                </c:pt>
              </c:numCache>
            </c:numRef>
          </c:val>
          <c:smooth val="0"/>
          <c:extLst>
            <c:ext xmlns:c16="http://schemas.microsoft.com/office/drawing/2014/chart" uri="{C3380CC4-5D6E-409C-BE32-E72D297353CC}">
              <c16:uniqueId val="{00000004-6EBD-46AD-B312-9B190CF34B9C}"/>
            </c:ext>
          </c:extLst>
        </c:ser>
        <c:ser>
          <c:idx val="5"/>
          <c:order val="5"/>
          <c:tx>
            <c:strRef>
              <c:f>'MAIN-Analisys'!$A$101:$A$101</c:f>
              <c:strCache>
                <c:ptCount val="1"/>
                <c:pt idx="0">
                  <c:v>Prices</c:v>
                </c:pt>
              </c:strCache>
            </c:strRef>
          </c:tx>
          <c:spPr>
            <a:ln w="34920">
              <a:solidFill>
                <a:srgbClr val="70AD47"/>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'MAIN-Analisys'!$B$114:$AA$114</c:f>
              <c:numCache>
                <c:formatCode>General</c:formatCode>
                <c:ptCount val="26"/>
                <c:pt idx="0">
                  <c:v>2</c:v>
                </c:pt>
                <c:pt idx="1">
                  <c:v>9</c:v>
                </c:pt>
                <c:pt idx="2">
                  <c:v>4</c:v>
                </c:pt>
                <c:pt idx="3">
                  <c:v>5</c:v>
                </c:pt>
                <c:pt idx="4">
                  <c:v>0</c:v>
                </c:pt>
                <c:pt idx="5">
                  <c:v>15</c:v>
                </c:pt>
                <c:pt idx="6">
                  <c:v>15</c:v>
                </c:pt>
                <c:pt idx="7">
                  <c:v>18</c:v>
                </c:pt>
                <c:pt idx="8">
                  <c:v>17</c:v>
                </c:pt>
                <c:pt idx="9">
                  <c:v>16</c:v>
                </c:pt>
                <c:pt idx="10">
                  <c:v>15</c:v>
                </c:pt>
                <c:pt idx="11">
                  <c:v>11</c:v>
                </c:pt>
                <c:pt idx="12">
                  <c:v>14</c:v>
                </c:pt>
                <c:pt idx="13">
                  <c:v>10</c:v>
                </c:pt>
                <c:pt idx="14">
                  <c:v>7</c:v>
                </c:pt>
                <c:pt idx="15">
                  <c:v>13</c:v>
                </c:pt>
                <c:pt idx="16">
                  <c:v>11</c:v>
                </c:pt>
                <c:pt idx="17">
                  <c:v>16</c:v>
                </c:pt>
                <c:pt idx="18">
                  <c:v>18</c:v>
                </c:pt>
                <c:pt idx="19">
                  <c:v>18</c:v>
                </c:pt>
              </c:numCache>
            </c:numRef>
          </c:val>
          <c:smooth val="0"/>
          <c:extLst>
            <c:ext xmlns:c16="http://schemas.microsoft.com/office/drawing/2014/chart" uri="{C3380CC4-5D6E-409C-BE32-E72D297353CC}">
              <c16:uniqueId val="{00000005-6EBD-46AD-B312-9B190CF34B9C}"/>
            </c:ext>
          </c:extLst>
        </c:ser>
        <c:ser>
          <c:idx val="6"/>
          <c:order val="6"/>
          <c:tx>
            <c:v>Business Activity</c:v>
          </c:tx>
          <c:spPr>
            <a:ln>
              <a:solidFill>
                <a:schemeClr val="bg1"/>
              </a:solidFill>
            </a:ln>
          </c:spPr>
          <c:marker>
            <c:symbol val="none"/>
          </c:marker>
          <c:val>
            <c:numRef>
              <c:f>'MAIN-Analisys'!$B$134:$U$134</c:f>
              <c:numCache>
                <c:formatCode>General</c:formatCode>
                <c:ptCount val="20"/>
                <c:pt idx="0">
                  <c:v>6</c:v>
                </c:pt>
                <c:pt idx="1">
                  <c:v>4</c:v>
                </c:pt>
                <c:pt idx="2">
                  <c:v>10</c:v>
                </c:pt>
                <c:pt idx="3">
                  <c:v>5</c:v>
                </c:pt>
                <c:pt idx="4">
                  <c:v>-2</c:v>
                </c:pt>
                <c:pt idx="5">
                  <c:v>10</c:v>
                </c:pt>
                <c:pt idx="6">
                  <c:v>6</c:v>
                </c:pt>
                <c:pt idx="7">
                  <c:v>5</c:v>
                </c:pt>
                <c:pt idx="8">
                  <c:v>8</c:v>
                </c:pt>
                <c:pt idx="9">
                  <c:v>13</c:v>
                </c:pt>
                <c:pt idx="10">
                  <c:v>8</c:v>
                </c:pt>
                <c:pt idx="11">
                  <c:v>5</c:v>
                </c:pt>
                <c:pt idx="12">
                  <c:v>8</c:v>
                </c:pt>
                <c:pt idx="13">
                  <c:v>3</c:v>
                </c:pt>
                <c:pt idx="14">
                  <c:v>4</c:v>
                </c:pt>
                <c:pt idx="15">
                  <c:v>6</c:v>
                </c:pt>
                <c:pt idx="16">
                  <c:v>8</c:v>
                </c:pt>
                <c:pt idx="17">
                  <c:v>6</c:v>
                </c:pt>
                <c:pt idx="18">
                  <c:v>7</c:v>
                </c:pt>
                <c:pt idx="19">
                  <c:v>6</c:v>
                </c:pt>
              </c:numCache>
            </c:numRef>
          </c:val>
          <c:smooth val="0"/>
          <c:extLst>
            <c:ext xmlns:c16="http://schemas.microsoft.com/office/drawing/2014/chart" uri="{C3380CC4-5D6E-409C-BE32-E72D297353CC}">
              <c16:uniqueId val="{00000001-39BD-4D46-AB46-0D8843C5859A}"/>
            </c:ext>
          </c:extLst>
        </c:ser>
        <c:dLbls>
          <c:showLegendKey val="0"/>
          <c:showVal val="0"/>
          <c:showCatName val="0"/>
          <c:showSerName val="0"/>
          <c:showPercent val="0"/>
          <c:showBubbleSize val="0"/>
        </c:dLbls>
        <c:hiLowLines>
          <c:spPr>
            <a:ln>
              <a:noFill/>
            </a:ln>
          </c:spPr>
        </c:hiLowLines>
        <c:marker val="1"/>
        <c:smooth val="0"/>
        <c:axId val="74542687"/>
        <c:axId val="49137353"/>
      </c:lineChart>
      <c:catAx>
        <c:axId val="74542687"/>
        <c:scaling>
          <c:orientation val="minMax"/>
        </c:scaling>
        <c:delete val="0"/>
        <c:axPos val="b"/>
        <c:numFmt formatCode="General" sourceLinked="1"/>
        <c:majorTickMark val="none"/>
        <c:minorTickMark val="none"/>
        <c:tickLblPos val="nextTo"/>
        <c:spPr>
          <a:ln w="12600">
            <a:solidFill>
              <a:srgbClr val="F2F2F2">
                <a:alpha val="54000"/>
              </a:srgbClr>
            </a:solidFill>
            <a:round/>
          </a:ln>
        </c:spPr>
        <c:txPr>
          <a:bodyPr/>
          <a:lstStyle/>
          <a:p>
            <a:pPr>
              <a:defRPr sz="900" b="0" strike="noStrike" spc="-1">
                <a:solidFill>
                  <a:srgbClr val="D9D9D9"/>
                </a:solidFill>
                <a:latin typeface="Calibri"/>
              </a:defRPr>
            </a:pPr>
            <a:endParaRPr lang="bg-BG"/>
          </a:p>
        </c:txPr>
        <c:crossAx val="49137353"/>
        <c:crosses val="autoZero"/>
        <c:auto val="1"/>
        <c:lblAlgn val="ctr"/>
        <c:lblOffset val="100"/>
        <c:noMultiLvlLbl val="1"/>
      </c:catAx>
      <c:valAx>
        <c:axId val="49137353"/>
        <c:scaling>
          <c:orientation val="minMax"/>
        </c:scaling>
        <c:delete val="0"/>
        <c:axPos val="l"/>
        <c:majorGridlines>
          <c:spPr>
            <a:ln w="9360">
              <a:solidFill>
                <a:srgbClr val="F2F2F2">
                  <a:alpha val="10000"/>
                </a:srgbClr>
              </a:solidFill>
              <a:round/>
            </a:ln>
          </c:spPr>
        </c:majorGridlines>
        <c:numFmt formatCode="General" sourceLinked="0"/>
        <c:majorTickMark val="none"/>
        <c:minorTickMark val="none"/>
        <c:tickLblPos val="nextTo"/>
        <c:spPr>
          <a:ln w="6480">
            <a:noFill/>
          </a:ln>
        </c:spPr>
        <c:txPr>
          <a:bodyPr/>
          <a:lstStyle/>
          <a:p>
            <a:pPr>
              <a:defRPr sz="900" b="0" strike="noStrike" spc="-1">
                <a:solidFill>
                  <a:srgbClr val="D9D9D9"/>
                </a:solidFill>
                <a:latin typeface="Calibri"/>
              </a:defRPr>
            </a:pPr>
            <a:endParaRPr lang="bg-BG"/>
          </a:p>
        </c:txPr>
        <c:crossAx val="74542687"/>
        <c:crosses val="autoZero"/>
        <c:crossBetween val="between"/>
      </c:valAx>
      <c:spPr>
        <a:noFill/>
        <a:ln>
          <a:noFill/>
        </a:ln>
      </c:spPr>
    </c:plotArea>
    <c:legend>
      <c:legendPos val="b"/>
      <c:overlay val="0"/>
      <c:spPr>
        <a:noFill/>
        <a:ln>
          <a:noFill/>
        </a:ln>
      </c:spPr>
      <c:txPr>
        <a:bodyPr/>
        <a:lstStyle/>
        <a:p>
          <a:pPr>
            <a:defRPr sz="900" b="0" strike="noStrike" spc="-1">
              <a:solidFill>
                <a:srgbClr val="D9D9D9"/>
              </a:solidFill>
              <a:latin typeface="Calibri"/>
            </a:defRPr>
          </a:pPr>
          <a:endParaRPr lang="bg-BG"/>
        </a:p>
      </c:txPr>
    </c:legend>
    <c:plotVisOnly val="1"/>
    <c:dispBlanksAs val="gap"/>
    <c:showDLblsOverMax val="1"/>
  </c:chart>
  <c:spPr>
    <a:gradFill>
      <a:gsLst>
        <a:gs pos="0">
          <a:srgbClr val="595959"/>
        </a:gs>
        <a:gs pos="100000">
          <a:srgbClr val="262626"/>
        </a:gs>
      </a:gsLst>
      <a:path path="circle"/>
    </a:gradFill>
    <a:ln>
      <a:noFill/>
    </a:ln>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600" b="1" strike="noStrike" spc="97">
                <a:solidFill>
                  <a:srgbClr val="F2F2F2"/>
                </a:solidFill>
                <a:latin typeface="Calibri"/>
              </a:defRPr>
            </a:pPr>
            <a:r>
              <a:rPr lang="en-US" sz="1600" b="1" strike="noStrike" spc="97">
                <a:solidFill>
                  <a:srgbClr val="F2F2F2"/>
                </a:solidFill>
                <a:latin typeface="Calibri"/>
              </a:rPr>
              <a:t>Educational Services</a:t>
            </a:r>
          </a:p>
        </c:rich>
      </c:tx>
      <c:overlay val="0"/>
      <c:spPr>
        <a:noFill/>
        <a:ln>
          <a:noFill/>
        </a:ln>
      </c:spPr>
    </c:title>
    <c:autoTitleDeleted val="0"/>
    <c:plotArea>
      <c:layout/>
      <c:barChart>
        <c:barDir val="col"/>
        <c:grouping val="clustered"/>
        <c:varyColors val="0"/>
        <c:ser>
          <c:idx val="0"/>
          <c:order val="0"/>
          <c:tx>
            <c:strRef>
              <c:f>'MAIN-Analisys'!$A$1:$A$1</c:f>
              <c:strCache>
                <c:ptCount val="1"/>
                <c:pt idx="0">
                  <c:v>Main Services PMI</c:v>
                </c:pt>
              </c:strCache>
            </c:strRef>
          </c:tx>
          <c:spPr>
            <a:gradFill>
              <a:gsLst>
                <a:gs pos="0">
                  <a:srgbClr val="71A6DA"/>
                </a:gs>
                <a:gs pos="100000">
                  <a:srgbClr val="549ADA"/>
                </a:gs>
              </a:gsLst>
              <a:lin ang="5400000"/>
            </a:gradFill>
            <a:ln>
              <a:noFill/>
            </a:ln>
          </c:spPr>
          <c:invertIfNegative val="0"/>
          <c:dLbls>
            <c:spPr>
              <a:noFill/>
              <a:ln>
                <a:noFill/>
              </a:ln>
              <a:effectLst/>
            </c:spPr>
            <c:txPr>
              <a:bodyPr/>
              <a:lstStyle/>
              <a:p>
                <a:pPr>
                  <a:defRPr sz="1000" b="0" strike="noStrike" spc="-1">
                    <a:solidFill>
                      <a:srgbClr val="000000"/>
                    </a:solidFill>
                    <a:latin typeface="Calibri"/>
                  </a:defRPr>
                </a:pPr>
                <a:endParaRPr lang="bg-BG"/>
              </a:p>
            </c:txPr>
            <c:dLblPos val="outEnd"/>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'MAIN-Analisys'!$B$15:$AA$15</c:f>
              <c:numCache>
                <c:formatCode>General</c:formatCode>
                <c:ptCount val="26"/>
                <c:pt idx="0">
                  <c:v>4</c:v>
                </c:pt>
                <c:pt idx="1">
                  <c:v>6</c:v>
                </c:pt>
                <c:pt idx="2">
                  <c:v>11</c:v>
                </c:pt>
                <c:pt idx="3">
                  <c:v>-1</c:v>
                </c:pt>
                <c:pt idx="4">
                  <c:v>1</c:v>
                </c:pt>
                <c:pt idx="5">
                  <c:v>-3</c:v>
                </c:pt>
                <c:pt idx="6">
                  <c:v>3</c:v>
                </c:pt>
                <c:pt idx="7">
                  <c:v>2</c:v>
                </c:pt>
                <c:pt idx="8">
                  <c:v>3</c:v>
                </c:pt>
                <c:pt idx="9">
                  <c:v>1</c:v>
                </c:pt>
                <c:pt idx="10">
                  <c:v>2</c:v>
                </c:pt>
                <c:pt idx="11">
                  <c:v>3</c:v>
                </c:pt>
                <c:pt idx="12">
                  <c:v>14</c:v>
                </c:pt>
                <c:pt idx="13">
                  <c:v>14</c:v>
                </c:pt>
                <c:pt idx="14">
                  <c:v>10</c:v>
                </c:pt>
                <c:pt idx="15">
                  <c:v>2</c:v>
                </c:pt>
                <c:pt idx="16">
                  <c:v>1</c:v>
                </c:pt>
                <c:pt idx="17">
                  <c:v>7</c:v>
                </c:pt>
                <c:pt idx="18">
                  <c:v>12</c:v>
                </c:pt>
                <c:pt idx="19">
                  <c:v>17</c:v>
                </c:pt>
              </c:numCache>
            </c:numRef>
          </c:val>
          <c:extLst>
            <c:ext xmlns:c16="http://schemas.microsoft.com/office/drawing/2014/chart" uri="{C3380CC4-5D6E-409C-BE32-E72D297353CC}">
              <c16:uniqueId val="{00000000-914E-4D67-90E9-A59892D56DDD}"/>
            </c:ext>
          </c:extLst>
        </c:ser>
        <c:dLbls>
          <c:showLegendKey val="0"/>
          <c:showVal val="0"/>
          <c:showCatName val="0"/>
          <c:showSerName val="0"/>
          <c:showPercent val="0"/>
          <c:showBubbleSize val="0"/>
        </c:dLbls>
        <c:gapWidth val="219"/>
        <c:overlap val="-27"/>
        <c:axId val="875469"/>
        <c:axId val="14218801"/>
      </c:barChart>
      <c:lineChart>
        <c:grouping val="standard"/>
        <c:varyColors val="0"/>
        <c:ser>
          <c:idx val="1"/>
          <c:order val="1"/>
          <c:tx>
            <c:strRef>
              <c:f>'MAIN-Analisys'!$A$21:$A$21</c:f>
              <c:strCache>
                <c:ptCount val="1"/>
                <c:pt idx="0">
                  <c:v>New orders</c:v>
                </c:pt>
              </c:strCache>
            </c:strRef>
          </c:tx>
          <c:spPr>
            <a:ln w="34920">
              <a:solidFill>
                <a:srgbClr val="ED7D31"/>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'MAIN-Analisys'!$B$35:$AA$35</c:f>
              <c:numCache>
                <c:formatCode>General</c:formatCode>
                <c:ptCount val="26"/>
                <c:pt idx="0">
                  <c:v>7</c:v>
                </c:pt>
                <c:pt idx="1">
                  <c:v>9</c:v>
                </c:pt>
                <c:pt idx="2">
                  <c:v>10</c:v>
                </c:pt>
                <c:pt idx="3">
                  <c:v>3</c:v>
                </c:pt>
                <c:pt idx="4">
                  <c:v>0</c:v>
                </c:pt>
                <c:pt idx="5">
                  <c:v>-1</c:v>
                </c:pt>
                <c:pt idx="6">
                  <c:v>3</c:v>
                </c:pt>
                <c:pt idx="7">
                  <c:v>1</c:v>
                </c:pt>
                <c:pt idx="8">
                  <c:v>6</c:v>
                </c:pt>
                <c:pt idx="9">
                  <c:v>7</c:v>
                </c:pt>
                <c:pt idx="10">
                  <c:v>3</c:v>
                </c:pt>
                <c:pt idx="11">
                  <c:v>4</c:v>
                </c:pt>
                <c:pt idx="12">
                  <c:v>10</c:v>
                </c:pt>
                <c:pt idx="13">
                  <c:v>13</c:v>
                </c:pt>
                <c:pt idx="14">
                  <c:v>4</c:v>
                </c:pt>
                <c:pt idx="15">
                  <c:v>1</c:v>
                </c:pt>
                <c:pt idx="16">
                  <c:v>-1</c:v>
                </c:pt>
                <c:pt idx="17">
                  <c:v>1</c:v>
                </c:pt>
                <c:pt idx="18">
                  <c:v>9</c:v>
                </c:pt>
                <c:pt idx="19">
                  <c:v>14</c:v>
                </c:pt>
              </c:numCache>
            </c:numRef>
          </c:val>
          <c:smooth val="0"/>
          <c:extLst>
            <c:ext xmlns:c16="http://schemas.microsoft.com/office/drawing/2014/chart" uri="{C3380CC4-5D6E-409C-BE32-E72D297353CC}">
              <c16:uniqueId val="{00000001-914E-4D67-90E9-A59892D56DDD}"/>
            </c:ext>
          </c:extLst>
        </c:ser>
        <c:ser>
          <c:idx val="2"/>
          <c:order val="2"/>
          <c:tx>
            <c:strRef>
              <c:f>'MAIN-Analisys'!$A$41:$A$41</c:f>
              <c:strCache>
                <c:ptCount val="1"/>
                <c:pt idx="0">
                  <c:v>Employment</c:v>
                </c:pt>
              </c:strCache>
            </c:strRef>
          </c:tx>
          <c:spPr>
            <a:ln w="34920">
              <a:solidFill>
                <a:srgbClr val="A5A5A5"/>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'MAIN-Analisys'!$B$55:$AA$55</c:f>
              <c:numCache>
                <c:formatCode>General</c:formatCode>
                <c:ptCount val="26"/>
                <c:pt idx="0">
                  <c:v>-8</c:v>
                </c:pt>
                <c:pt idx="1">
                  <c:v>-5</c:v>
                </c:pt>
                <c:pt idx="2">
                  <c:v>-2</c:v>
                </c:pt>
                <c:pt idx="3">
                  <c:v>-5</c:v>
                </c:pt>
                <c:pt idx="4">
                  <c:v>0</c:v>
                </c:pt>
                <c:pt idx="5">
                  <c:v>-4</c:v>
                </c:pt>
                <c:pt idx="6">
                  <c:v>-3</c:v>
                </c:pt>
                <c:pt idx="7">
                  <c:v>2</c:v>
                </c:pt>
                <c:pt idx="8">
                  <c:v>-1</c:v>
                </c:pt>
                <c:pt idx="9">
                  <c:v>-1</c:v>
                </c:pt>
                <c:pt idx="10">
                  <c:v>-1</c:v>
                </c:pt>
                <c:pt idx="11">
                  <c:v>-2</c:v>
                </c:pt>
                <c:pt idx="12">
                  <c:v>8</c:v>
                </c:pt>
                <c:pt idx="13">
                  <c:v>10</c:v>
                </c:pt>
                <c:pt idx="14">
                  <c:v>6</c:v>
                </c:pt>
                <c:pt idx="15">
                  <c:v>2</c:v>
                </c:pt>
                <c:pt idx="16">
                  <c:v>4</c:v>
                </c:pt>
                <c:pt idx="17">
                  <c:v>-5</c:v>
                </c:pt>
                <c:pt idx="18">
                  <c:v>1</c:v>
                </c:pt>
                <c:pt idx="19">
                  <c:v>8</c:v>
                </c:pt>
              </c:numCache>
            </c:numRef>
          </c:val>
          <c:smooth val="0"/>
          <c:extLst>
            <c:ext xmlns:c16="http://schemas.microsoft.com/office/drawing/2014/chart" uri="{C3380CC4-5D6E-409C-BE32-E72D297353CC}">
              <c16:uniqueId val="{00000002-914E-4D67-90E9-A59892D56DDD}"/>
            </c:ext>
          </c:extLst>
        </c:ser>
        <c:ser>
          <c:idx val="3"/>
          <c:order val="3"/>
          <c:tx>
            <c:strRef>
              <c:f>'MAIN-Analisys'!$A$61:$A$61</c:f>
              <c:strCache>
                <c:ptCount val="1"/>
                <c:pt idx="0">
                  <c:v>Deliveries</c:v>
                </c:pt>
              </c:strCache>
            </c:strRef>
          </c:tx>
          <c:spPr>
            <a:ln w="34920">
              <a:solidFill>
                <a:srgbClr val="FFC000"/>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'MAIN-Analisys'!$B$75:$AA$75</c:f>
              <c:numCache>
                <c:formatCode>General</c:formatCode>
                <c:ptCount val="26"/>
                <c:pt idx="0">
                  <c:v>-8</c:v>
                </c:pt>
                <c:pt idx="1">
                  <c:v>-2</c:v>
                </c:pt>
                <c:pt idx="2">
                  <c:v>-3</c:v>
                </c:pt>
                <c:pt idx="3">
                  <c:v>-1</c:v>
                </c:pt>
                <c:pt idx="4">
                  <c:v>-4</c:v>
                </c:pt>
                <c:pt idx="5">
                  <c:v>-2</c:v>
                </c:pt>
                <c:pt idx="6">
                  <c:v>1</c:v>
                </c:pt>
                <c:pt idx="7">
                  <c:v>2</c:v>
                </c:pt>
                <c:pt idx="8">
                  <c:v>-1</c:v>
                </c:pt>
                <c:pt idx="9">
                  <c:v>-1</c:v>
                </c:pt>
                <c:pt idx="10">
                  <c:v>-12</c:v>
                </c:pt>
                <c:pt idx="11">
                  <c:v>-4</c:v>
                </c:pt>
                <c:pt idx="12">
                  <c:v>4</c:v>
                </c:pt>
                <c:pt idx="13">
                  <c:v>-7</c:v>
                </c:pt>
                <c:pt idx="14">
                  <c:v>-10</c:v>
                </c:pt>
                <c:pt idx="15">
                  <c:v>-9</c:v>
                </c:pt>
                <c:pt idx="16">
                  <c:v>-7</c:v>
                </c:pt>
                <c:pt idx="17">
                  <c:v>-12</c:v>
                </c:pt>
                <c:pt idx="18">
                  <c:v>-6</c:v>
                </c:pt>
                <c:pt idx="19">
                  <c:v>-13</c:v>
                </c:pt>
              </c:numCache>
            </c:numRef>
          </c:val>
          <c:smooth val="0"/>
          <c:extLst>
            <c:ext xmlns:c16="http://schemas.microsoft.com/office/drawing/2014/chart" uri="{C3380CC4-5D6E-409C-BE32-E72D297353CC}">
              <c16:uniqueId val="{00000003-914E-4D67-90E9-A59892D56DDD}"/>
            </c:ext>
          </c:extLst>
        </c:ser>
        <c:ser>
          <c:idx val="4"/>
          <c:order val="4"/>
          <c:tx>
            <c:strRef>
              <c:f>'MAIN-Analisys'!$A$81:$A$81</c:f>
              <c:strCache>
                <c:ptCount val="1"/>
                <c:pt idx="0">
                  <c:v>Inventory</c:v>
                </c:pt>
              </c:strCache>
            </c:strRef>
          </c:tx>
          <c:spPr>
            <a:ln w="34920">
              <a:solidFill>
                <a:srgbClr val="4472C4"/>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'MAIN-Analisys'!$B$95:$AA$95</c:f>
              <c:numCache>
                <c:formatCode>General</c:formatCode>
                <c:ptCount val="26"/>
                <c:pt idx="0">
                  <c:v>6</c:v>
                </c:pt>
                <c:pt idx="1">
                  <c:v>7</c:v>
                </c:pt>
                <c:pt idx="2">
                  <c:v>5</c:v>
                </c:pt>
                <c:pt idx="3">
                  <c:v>2</c:v>
                </c:pt>
                <c:pt idx="4">
                  <c:v>1</c:v>
                </c:pt>
                <c:pt idx="5">
                  <c:v>6</c:v>
                </c:pt>
                <c:pt idx="6">
                  <c:v>5</c:v>
                </c:pt>
                <c:pt idx="7">
                  <c:v>1</c:v>
                </c:pt>
                <c:pt idx="8">
                  <c:v>6</c:v>
                </c:pt>
                <c:pt idx="9">
                  <c:v>1</c:v>
                </c:pt>
                <c:pt idx="10">
                  <c:v>0</c:v>
                </c:pt>
                <c:pt idx="11">
                  <c:v>-4</c:v>
                </c:pt>
                <c:pt idx="12">
                  <c:v>0</c:v>
                </c:pt>
                <c:pt idx="13">
                  <c:v>6</c:v>
                </c:pt>
                <c:pt idx="14">
                  <c:v>3</c:v>
                </c:pt>
                <c:pt idx="15">
                  <c:v>-3</c:v>
                </c:pt>
                <c:pt idx="16">
                  <c:v>-4</c:v>
                </c:pt>
                <c:pt idx="17">
                  <c:v>7</c:v>
                </c:pt>
                <c:pt idx="18">
                  <c:v>8</c:v>
                </c:pt>
                <c:pt idx="19">
                  <c:v>4</c:v>
                </c:pt>
              </c:numCache>
            </c:numRef>
          </c:val>
          <c:smooth val="0"/>
          <c:extLst>
            <c:ext xmlns:c16="http://schemas.microsoft.com/office/drawing/2014/chart" uri="{C3380CC4-5D6E-409C-BE32-E72D297353CC}">
              <c16:uniqueId val="{00000004-914E-4D67-90E9-A59892D56DDD}"/>
            </c:ext>
          </c:extLst>
        </c:ser>
        <c:ser>
          <c:idx val="5"/>
          <c:order val="5"/>
          <c:tx>
            <c:strRef>
              <c:f>'MAIN-Analisys'!$A$101:$A$101</c:f>
              <c:strCache>
                <c:ptCount val="1"/>
                <c:pt idx="0">
                  <c:v>Prices</c:v>
                </c:pt>
              </c:strCache>
            </c:strRef>
          </c:tx>
          <c:spPr>
            <a:ln w="34920">
              <a:solidFill>
                <a:srgbClr val="70AD47"/>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'MAIN-Analisys'!$B$115:$AA$115</c:f>
              <c:numCache>
                <c:formatCode>General</c:formatCode>
                <c:ptCount val="26"/>
                <c:pt idx="0">
                  <c:v>9</c:v>
                </c:pt>
                <c:pt idx="1">
                  <c:v>1</c:v>
                </c:pt>
                <c:pt idx="2">
                  <c:v>1</c:v>
                </c:pt>
                <c:pt idx="3">
                  <c:v>1</c:v>
                </c:pt>
                <c:pt idx="4">
                  <c:v>0</c:v>
                </c:pt>
                <c:pt idx="5">
                  <c:v>1</c:v>
                </c:pt>
                <c:pt idx="6">
                  <c:v>2</c:v>
                </c:pt>
                <c:pt idx="7">
                  <c:v>2</c:v>
                </c:pt>
                <c:pt idx="8">
                  <c:v>2</c:v>
                </c:pt>
                <c:pt idx="9">
                  <c:v>3</c:v>
                </c:pt>
                <c:pt idx="10">
                  <c:v>9</c:v>
                </c:pt>
                <c:pt idx="11">
                  <c:v>4</c:v>
                </c:pt>
                <c:pt idx="12">
                  <c:v>10</c:v>
                </c:pt>
                <c:pt idx="13">
                  <c:v>6</c:v>
                </c:pt>
                <c:pt idx="14">
                  <c:v>10</c:v>
                </c:pt>
                <c:pt idx="15">
                  <c:v>8</c:v>
                </c:pt>
                <c:pt idx="16">
                  <c:v>10</c:v>
                </c:pt>
                <c:pt idx="17">
                  <c:v>2</c:v>
                </c:pt>
                <c:pt idx="18">
                  <c:v>15</c:v>
                </c:pt>
                <c:pt idx="19">
                  <c:v>8</c:v>
                </c:pt>
              </c:numCache>
            </c:numRef>
          </c:val>
          <c:smooth val="0"/>
          <c:extLst>
            <c:ext xmlns:c16="http://schemas.microsoft.com/office/drawing/2014/chart" uri="{C3380CC4-5D6E-409C-BE32-E72D297353CC}">
              <c16:uniqueId val="{00000005-914E-4D67-90E9-A59892D56DDD}"/>
            </c:ext>
          </c:extLst>
        </c:ser>
        <c:ser>
          <c:idx val="6"/>
          <c:order val="6"/>
          <c:tx>
            <c:v>Business Activity</c:v>
          </c:tx>
          <c:spPr>
            <a:ln>
              <a:solidFill>
                <a:schemeClr val="bg1"/>
              </a:solidFill>
            </a:ln>
          </c:spPr>
          <c:marker>
            <c:symbol val="none"/>
          </c:marker>
          <c:val>
            <c:numRef>
              <c:f>'MAIN-Analisys'!$B$135:$U$135</c:f>
              <c:numCache>
                <c:formatCode>General</c:formatCode>
                <c:ptCount val="20"/>
                <c:pt idx="0">
                  <c:v>3</c:v>
                </c:pt>
                <c:pt idx="1">
                  <c:v>8</c:v>
                </c:pt>
                <c:pt idx="2">
                  <c:v>7</c:v>
                </c:pt>
                <c:pt idx="3">
                  <c:v>1</c:v>
                </c:pt>
                <c:pt idx="4">
                  <c:v>-1</c:v>
                </c:pt>
                <c:pt idx="5">
                  <c:v>-1</c:v>
                </c:pt>
                <c:pt idx="6">
                  <c:v>8</c:v>
                </c:pt>
                <c:pt idx="7">
                  <c:v>2</c:v>
                </c:pt>
                <c:pt idx="8">
                  <c:v>9</c:v>
                </c:pt>
                <c:pt idx="9">
                  <c:v>5</c:v>
                </c:pt>
                <c:pt idx="10">
                  <c:v>2</c:v>
                </c:pt>
                <c:pt idx="11">
                  <c:v>2</c:v>
                </c:pt>
                <c:pt idx="12">
                  <c:v>13</c:v>
                </c:pt>
                <c:pt idx="13">
                  <c:v>15</c:v>
                </c:pt>
                <c:pt idx="14">
                  <c:v>13</c:v>
                </c:pt>
                <c:pt idx="15">
                  <c:v>1</c:v>
                </c:pt>
                <c:pt idx="16">
                  <c:v>-1</c:v>
                </c:pt>
                <c:pt idx="17">
                  <c:v>-1</c:v>
                </c:pt>
                <c:pt idx="18">
                  <c:v>12</c:v>
                </c:pt>
                <c:pt idx="19">
                  <c:v>12</c:v>
                </c:pt>
              </c:numCache>
            </c:numRef>
          </c:val>
          <c:smooth val="0"/>
          <c:extLst>
            <c:ext xmlns:c16="http://schemas.microsoft.com/office/drawing/2014/chart" uri="{C3380CC4-5D6E-409C-BE32-E72D297353CC}">
              <c16:uniqueId val="{00000001-BFA6-4BB7-B79E-65D0A7513ADB}"/>
            </c:ext>
          </c:extLst>
        </c:ser>
        <c:dLbls>
          <c:showLegendKey val="0"/>
          <c:showVal val="0"/>
          <c:showCatName val="0"/>
          <c:showSerName val="0"/>
          <c:showPercent val="0"/>
          <c:showBubbleSize val="0"/>
        </c:dLbls>
        <c:hiLowLines>
          <c:spPr>
            <a:ln>
              <a:noFill/>
            </a:ln>
          </c:spPr>
        </c:hiLowLines>
        <c:marker val="1"/>
        <c:smooth val="0"/>
        <c:axId val="875469"/>
        <c:axId val="14218801"/>
      </c:lineChart>
      <c:catAx>
        <c:axId val="875469"/>
        <c:scaling>
          <c:orientation val="minMax"/>
        </c:scaling>
        <c:delete val="0"/>
        <c:axPos val="b"/>
        <c:numFmt formatCode="General" sourceLinked="1"/>
        <c:majorTickMark val="none"/>
        <c:minorTickMark val="none"/>
        <c:tickLblPos val="nextTo"/>
        <c:spPr>
          <a:ln w="12600">
            <a:solidFill>
              <a:srgbClr val="F2F2F2">
                <a:alpha val="54000"/>
              </a:srgbClr>
            </a:solidFill>
            <a:round/>
          </a:ln>
        </c:spPr>
        <c:txPr>
          <a:bodyPr/>
          <a:lstStyle/>
          <a:p>
            <a:pPr>
              <a:defRPr sz="900" b="0" strike="noStrike" spc="-1">
                <a:solidFill>
                  <a:srgbClr val="D9D9D9"/>
                </a:solidFill>
                <a:latin typeface="Calibri"/>
              </a:defRPr>
            </a:pPr>
            <a:endParaRPr lang="bg-BG"/>
          </a:p>
        </c:txPr>
        <c:crossAx val="14218801"/>
        <c:crosses val="autoZero"/>
        <c:auto val="1"/>
        <c:lblAlgn val="ctr"/>
        <c:lblOffset val="100"/>
        <c:noMultiLvlLbl val="1"/>
      </c:catAx>
      <c:valAx>
        <c:axId val="14218801"/>
        <c:scaling>
          <c:orientation val="minMax"/>
        </c:scaling>
        <c:delete val="0"/>
        <c:axPos val="l"/>
        <c:majorGridlines>
          <c:spPr>
            <a:ln w="9360">
              <a:solidFill>
                <a:srgbClr val="F2F2F2">
                  <a:alpha val="10000"/>
                </a:srgbClr>
              </a:solidFill>
              <a:round/>
            </a:ln>
          </c:spPr>
        </c:majorGridlines>
        <c:numFmt formatCode="General" sourceLinked="0"/>
        <c:majorTickMark val="none"/>
        <c:minorTickMark val="none"/>
        <c:tickLblPos val="nextTo"/>
        <c:spPr>
          <a:ln w="6480">
            <a:noFill/>
          </a:ln>
        </c:spPr>
        <c:txPr>
          <a:bodyPr/>
          <a:lstStyle/>
          <a:p>
            <a:pPr>
              <a:defRPr sz="900" b="0" strike="noStrike" spc="-1">
                <a:solidFill>
                  <a:srgbClr val="D9D9D9"/>
                </a:solidFill>
                <a:latin typeface="Calibri"/>
              </a:defRPr>
            </a:pPr>
            <a:endParaRPr lang="bg-BG"/>
          </a:p>
        </c:txPr>
        <c:crossAx val="875469"/>
        <c:crosses val="autoZero"/>
        <c:crossBetween val="between"/>
      </c:valAx>
      <c:spPr>
        <a:noFill/>
        <a:ln>
          <a:noFill/>
        </a:ln>
      </c:spPr>
    </c:plotArea>
    <c:legend>
      <c:legendPos val="b"/>
      <c:overlay val="0"/>
      <c:spPr>
        <a:noFill/>
        <a:ln>
          <a:noFill/>
        </a:ln>
      </c:spPr>
      <c:txPr>
        <a:bodyPr/>
        <a:lstStyle/>
        <a:p>
          <a:pPr>
            <a:defRPr sz="900" b="0" strike="noStrike" spc="-1">
              <a:solidFill>
                <a:srgbClr val="D9D9D9"/>
              </a:solidFill>
              <a:latin typeface="Calibri"/>
            </a:defRPr>
          </a:pPr>
          <a:endParaRPr lang="bg-BG"/>
        </a:p>
      </c:txPr>
    </c:legend>
    <c:plotVisOnly val="1"/>
    <c:dispBlanksAs val="gap"/>
    <c:showDLblsOverMax val="1"/>
  </c:chart>
  <c:spPr>
    <a:gradFill>
      <a:gsLst>
        <a:gs pos="0">
          <a:srgbClr val="595959"/>
        </a:gs>
        <a:gs pos="100000">
          <a:srgbClr val="262626"/>
        </a:gs>
      </a:gsLst>
      <a:path path="circle"/>
    </a:gradFill>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600" b="1" strike="noStrike" spc="97">
                <a:solidFill>
                  <a:srgbClr val="F2F2F2"/>
                </a:solidFill>
                <a:latin typeface="Calibri"/>
              </a:defRPr>
            </a:pPr>
            <a:r>
              <a:rPr lang="en-US" sz="1600" b="1" strike="noStrike" spc="97">
                <a:solidFill>
                  <a:srgbClr val="F2F2F2"/>
                </a:solidFill>
                <a:latin typeface="Calibri"/>
              </a:rPr>
              <a:t>Arts, Entertainment &amp; Recreation</a:t>
            </a:r>
          </a:p>
        </c:rich>
      </c:tx>
      <c:overlay val="0"/>
      <c:spPr>
        <a:noFill/>
        <a:ln>
          <a:noFill/>
        </a:ln>
      </c:spPr>
    </c:title>
    <c:autoTitleDeleted val="0"/>
    <c:plotArea>
      <c:layout/>
      <c:barChart>
        <c:barDir val="col"/>
        <c:grouping val="clustered"/>
        <c:varyColors val="0"/>
        <c:ser>
          <c:idx val="0"/>
          <c:order val="0"/>
          <c:tx>
            <c:strRef>
              <c:f>'MAIN-Analisys'!$A$1:$A$1</c:f>
              <c:strCache>
                <c:ptCount val="1"/>
                <c:pt idx="0">
                  <c:v>Main Services PMI</c:v>
                </c:pt>
              </c:strCache>
            </c:strRef>
          </c:tx>
          <c:spPr>
            <a:gradFill>
              <a:gsLst>
                <a:gs pos="0">
                  <a:srgbClr val="71A6DA"/>
                </a:gs>
                <a:gs pos="100000">
                  <a:srgbClr val="549ADA"/>
                </a:gs>
              </a:gsLst>
              <a:lin ang="5400000"/>
            </a:gradFill>
            <a:ln>
              <a:noFill/>
            </a:ln>
          </c:spPr>
          <c:invertIfNegative val="0"/>
          <c:dLbls>
            <c:spPr>
              <a:noFill/>
              <a:ln>
                <a:noFill/>
              </a:ln>
              <a:effectLst/>
            </c:spPr>
            <c:txPr>
              <a:bodyPr/>
              <a:lstStyle/>
              <a:p>
                <a:pPr>
                  <a:defRPr sz="1000" b="0" strike="noStrike" spc="-1">
                    <a:solidFill>
                      <a:srgbClr val="000000"/>
                    </a:solidFill>
                    <a:latin typeface="Calibri"/>
                  </a:defRPr>
                </a:pPr>
                <a:endParaRPr lang="bg-BG"/>
              </a:p>
            </c:txPr>
            <c:dLblPos val="outEnd"/>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'MAIN-Analisys'!$B$16:$AA$16</c:f>
              <c:numCache>
                <c:formatCode>General</c:formatCode>
                <c:ptCount val="26"/>
                <c:pt idx="0">
                  <c:v>15</c:v>
                </c:pt>
                <c:pt idx="1">
                  <c:v>16</c:v>
                </c:pt>
                <c:pt idx="2">
                  <c:v>-2</c:v>
                </c:pt>
                <c:pt idx="3">
                  <c:v>-4</c:v>
                </c:pt>
                <c:pt idx="4">
                  <c:v>-4</c:v>
                </c:pt>
                <c:pt idx="5">
                  <c:v>-4</c:v>
                </c:pt>
                <c:pt idx="6">
                  <c:v>13</c:v>
                </c:pt>
                <c:pt idx="7">
                  <c:v>18</c:v>
                </c:pt>
                <c:pt idx="8">
                  <c:v>17</c:v>
                </c:pt>
                <c:pt idx="9">
                  <c:v>15</c:v>
                </c:pt>
                <c:pt idx="10">
                  <c:v>16</c:v>
                </c:pt>
                <c:pt idx="11">
                  <c:v>17</c:v>
                </c:pt>
                <c:pt idx="12">
                  <c:v>-1</c:v>
                </c:pt>
                <c:pt idx="13">
                  <c:v>16</c:v>
                </c:pt>
                <c:pt idx="14">
                  <c:v>15</c:v>
                </c:pt>
                <c:pt idx="15">
                  <c:v>7</c:v>
                </c:pt>
                <c:pt idx="16">
                  <c:v>8</c:v>
                </c:pt>
                <c:pt idx="17">
                  <c:v>-2</c:v>
                </c:pt>
                <c:pt idx="18">
                  <c:v>-3</c:v>
                </c:pt>
                <c:pt idx="19">
                  <c:v>16</c:v>
                </c:pt>
              </c:numCache>
            </c:numRef>
          </c:val>
          <c:extLst>
            <c:ext xmlns:c16="http://schemas.microsoft.com/office/drawing/2014/chart" uri="{C3380CC4-5D6E-409C-BE32-E72D297353CC}">
              <c16:uniqueId val="{00000000-438F-49FD-B615-A5C1A3057081}"/>
            </c:ext>
          </c:extLst>
        </c:ser>
        <c:dLbls>
          <c:showLegendKey val="0"/>
          <c:showVal val="0"/>
          <c:showCatName val="0"/>
          <c:showSerName val="0"/>
          <c:showPercent val="0"/>
          <c:showBubbleSize val="0"/>
        </c:dLbls>
        <c:gapWidth val="219"/>
        <c:overlap val="-27"/>
        <c:axId val="24948470"/>
        <c:axId val="31905566"/>
      </c:barChart>
      <c:lineChart>
        <c:grouping val="standard"/>
        <c:varyColors val="0"/>
        <c:ser>
          <c:idx val="1"/>
          <c:order val="1"/>
          <c:tx>
            <c:strRef>
              <c:f>'MAIN-Analisys'!$A$21:$A$21</c:f>
              <c:strCache>
                <c:ptCount val="1"/>
                <c:pt idx="0">
                  <c:v>New orders</c:v>
                </c:pt>
              </c:strCache>
            </c:strRef>
          </c:tx>
          <c:spPr>
            <a:ln w="34920">
              <a:solidFill>
                <a:srgbClr val="ED7D31"/>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'MAIN-Analisys'!$B$36:$AA$36</c:f>
              <c:numCache>
                <c:formatCode>General</c:formatCode>
                <c:ptCount val="26"/>
                <c:pt idx="0">
                  <c:v>12</c:v>
                </c:pt>
                <c:pt idx="1">
                  <c:v>14</c:v>
                </c:pt>
                <c:pt idx="2">
                  <c:v>0</c:v>
                </c:pt>
                <c:pt idx="3">
                  <c:v>-3</c:v>
                </c:pt>
                <c:pt idx="4">
                  <c:v>-5</c:v>
                </c:pt>
                <c:pt idx="5">
                  <c:v>-3</c:v>
                </c:pt>
                <c:pt idx="6">
                  <c:v>0</c:v>
                </c:pt>
                <c:pt idx="7">
                  <c:v>17</c:v>
                </c:pt>
                <c:pt idx="8">
                  <c:v>17</c:v>
                </c:pt>
                <c:pt idx="9">
                  <c:v>11</c:v>
                </c:pt>
                <c:pt idx="10">
                  <c:v>16</c:v>
                </c:pt>
                <c:pt idx="11">
                  <c:v>16</c:v>
                </c:pt>
                <c:pt idx="12">
                  <c:v>-3</c:v>
                </c:pt>
                <c:pt idx="13">
                  <c:v>16</c:v>
                </c:pt>
                <c:pt idx="14">
                  <c:v>8</c:v>
                </c:pt>
                <c:pt idx="15">
                  <c:v>9</c:v>
                </c:pt>
                <c:pt idx="16">
                  <c:v>8</c:v>
                </c:pt>
                <c:pt idx="17">
                  <c:v>-4</c:v>
                </c:pt>
                <c:pt idx="18">
                  <c:v>-2</c:v>
                </c:pt>
                <c:pt idx="19">
                  <c:v>15</c:v>
                </c:pt>
              </c:numCache>
            </c:numRef>
          </c:val>
          <c:smooth val="0"/>
          <c:extLst>
            <c:ext xmlns:c16="http://schemas.microsoft.com/office/drawing/2014/chart" uri="{C3380CC4-5D6E-409C-BE32-E72D297353CC}">
              <c16:uniqueId val="{00000001-438F-49FD-B615-A5C1A3057081}"/>
            </c:ext>
          </c:extLst>
        </c:ser>
        <c:ser>
          <c:idx val="2"/>
          <c:order val="2"/>
          <c:tx>
            <c:strRef>
              <c:f>'MAIN-Analisys'!$A$41:$A$41</c:f>
              <c:strCache>
                <c:ptCount val="1"/>
                <c:pt idx="0">
                  <c:v>Employment</c:v>
                </c:pt>
              </c:strCache>
            </c:strRef>
          </c:tx>
          <c:spPr>
            <a:ln w="34920">
              <a:solidFill>
                <a:srgbClr val="A5A5A5"/>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'MAIN-Analisys'!$B$56:$AA$56</c:f>
              <c:numCache>
                <c:formatCode>General</c:formatCode>
                <c:ptCount val="26"/>
                <c:pt idx="0">
                  <c:v>8</c:v>
                </c:pt>
                <c:pt idx="1">
                  <c:v>9</c:v>
                </c:pt>
                <c:pt idx="2">
                  <c:v>-8</c:v>
                </c:pt>
                <c:pt idx="3">
                  <c:v>-6</c:v>
                </c:pt>
                <c:pt idx="4">
                  <c:v>-10</c:v>
                </c:pt>
                <c:pt idx="5">
                  <c:v>0</c:v>
                </c:pt>
                <c:pt idx="6">
                  <c:v>11</c:v>
                </c:pt>
                <c:pt idx="7">
                  <c:v>10</c:v>
                </c:pt>
                <c:pt idx="8">
                  <c:v>11</c:v>
                </c:pt>
                <c:pt idx="9">
                  <c:v>10</c:v>
                </c:pt>
                <c:pt idx="10">
                  <c:v>12</c:v>
                </c:pt>
                <c:pt idx="11">
                  <c:v>13</c:v>
                </c:pt>
                <c:pt idx="12">
                  <c:v>9</c:v>
                </c:pt>
                <c:pt idx="13">
                  <c:v>14</c:v>
                </c:pt>
                <c:pt idx="14">
                  <c:v>12</c:v>
                </c:pt>
                <c:pt idx="15">
                  <c:v>11</c:v>
                </c:pt>
                <c:pt idx="16">
                  <c:v>8</c:v>
                </c:pt>
                <c:pt idx="17">
                  <c:v>0</c:v>
                </c:pt>
                <c:pt idx="18">
                  <c:v>5</c:v>
                </c:pt>
                <c:pt idx="19">
                  <c:v>12</c:v>
                </c:pt>
              </c:numCache>
            </c:numRef>
          </c:val>
          <c:smooth val="0"/>
          <c:extLst>
            <c:ext xmlns:c16="http://schemas.microsoft.com/office/drawing/2014/chart" uri="{C3380CC4-5D6E-409C-BE32-E72D297353CC}">
              <c16:uniqueId val="{00000002-438F-49FD-B615-A5C1A3057081}"/>
            </c:ext>
          </c:extLst>
        </c:ser>
        <c:ser>
          <c:idx val="3"/>
          <c:order val="3"/>
          <c:tx>
            <c:strRef>
              <c:f>'MAIN-Analisys'!$A$61</c:f>
              <c:strCache>
                <c:ptCount val="1"/>
                <c:pt idx="0">
                  <c:v>Deliveries</c:v>
                </c:pt>
              </c:strCache>
            </c:strRef>
          </c:tx>
          <c:spPr>
            <a:ln w="34920">
              <a:solidFill>
                <a:srgbClr val="FFC000"/>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'MAIN-Analisys'!$B$76:$U$76</c:f>
              <c:numCache>
                <c:formatCode>General</c:formatCode>
                <c:ptCount val="20"/>
                <c:pt idx="0">
                  <c:v>0</c:v>
                </c:pt>
                <c:pt idx="1">
                  <c:v>0</c:v>
                </c:pt>
                <c:pt idx="2">
                  <c:v>0</c:v>
                </c:pt>
                <c:pt idx="3">
                  <c:v>0</c:v>
                </c:pt>
                <c:pt idx="4">
                  <c:v>0</c:v>
                </c:pt>
                <c:pt idx="5">
                  <c:v>0</c:v>
                </c:pt>
                <c:pt idx="6">
                  <c:v>0</c:v>
                </c:pt>
                <c:pt idx="7">
                  <c:v>-8</c:v>
                </c:pt>
                <c:pt idx="8">
                  <c:v>-10</c:v>
                </c:pt>
                <c:pt idx="9">
                  <c:v>1</c:v>
                </c:pt>
                <c:pt idx="10">
                  <c:v>0</c:v>
                </c:pt>
                <c:pt idx="11">
                  <c:v>-15</c:v>
                </c:pt>
                <c:pt idx="12">
                  <c:v>0</c:v>
                </c:pt>
                <c:pt idx="13">
                  <c:v>0</c:v>
                </c:pt>
                <c:pt idx="14">
                  <c:v>-4</c:v>
                </c:pt>
                <c:pt idx="15">
                  <c:v>0</c:v>
                </c:pt>
                <c:pt idx="16">
                  <c:v>0</c:v>
                </c:pt>
                <c:pt idx="17">
                  <c:v>-9</c:v>
                </c:pt>
                <c:pt idx="18">
                  <c:v>0</c:v>
                </c:pt>
                <c:pt idx="19">
                  <c:v>0</c:v>
                </c:pt>
              </c:numCache>
            </c:numRef>
          </c:val>
          <c:smooth val="0"/>
          <c:extLst>
            <c:ext xmlns:c16="http://schemas.microsoft.com/office/drawing/2014/chart" uri="{C3380CC4-5D6E-409C-BE32-E72D297353CC}">
              <c16:uniqueId val="{00000003-438F-49FD-B615-A5C1A3057081}"/>
            </c:ext>
          </c:extLst>
        </c:ser>
        <c:ser>
          <c:idx val="4"/>
          <c:order val="4"/>
          <c:tx>
            <c:strRef>
              <c:f>'MAIN-Analisys'!$A$81:$A$81</c:f>
              <c:strCache>
                <c:ptCount val="1"/>
                <c:pt idx="0">
                  <c:v>Inventory</c:v>
                </c:pt>
              </c:strCache>
            </c:strRef>
          </c:tx>
          <c:spPr>
            <a:ln w="34920">
              <a:solidFill>
                <a:srgbClr val="4472C4"/>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'MAIN-Analisys'!$B$96:$AA$96</c:f>
              <c:numCache>
                <c:formatCode>General</c:formatCode>
                <c:ptCount val="26"/>
                <c:pt idx="0">
                  <c:v>0</c:v>
                </c:pt>
                <c:pt idx="1">
                  <c:v>-7</c:v>
                </c:pt>
                <c:pt idx="2">
                  <c:v>-5</c:v>
                </c:pt>
                <c:pt idx="3">
                  <c:v>-6</c:v>
                </c:pt>
                <c:pt idx="4">
                  <c:v>11</c:v>
                </c:pt>
                <c:pt idx="5">
                  <c:v>-6</c:v>
                </c:pt>
                <c:pt idx="6">
                  <c:v>0</c:v>
                </c:pt>
                <c:pt idx="7">
                  <c:v>-5</c:v>
                </c:pt>
                <c:pt idx="8">
                  <c:v>8</c:v>
                </c:pt>
                <c:pt idx="9">
                  <c:v>7</c:v>
                </c:pt>
                <c:pt idx="10">
                  <c:v>5</c:v>
                </c:pt>
                <c:pt idx="11">
                  <c:v>10</c:v>
                </c:pt>
                <c:pt idx="12">
                  <c:v>7</c:v>
                </c:pt>
                <c:pt idx="13">
                  <c:v>9</c:v>
                </c:pt>
                <c:pt idx="14">
                  <c:v>6</c:v>
                </c:pt>
                <c:pt idx="15">
                  <c:v>7</c:v>
                </c:pt>
                <c:pt idx="16">
                  <c:v>0</c:v>
                </c:pt>
                <c:pt idx="17">
                  <c:v>-6</c:v>
                </c:pt>
                <c:pt idx="18">
                  <c:v>-7</c:v>
                </c:pt>
                <c:pt idx="19">
                  <c:v>6</c:v>
                </c:pt>
              </c:numCache>
            </c:numRef>
          </c:val>
          <c:smooth val="0"/>
          <c:extLst>
            <c:ext xmlns:c16="http://schemas.microsoft.com/office/drawing/2014/chart" uri="{C3380CC4-5D6E-409C-BE32-E72D297353CC}">
              <c16:uniqueId val="{00000004-438F-49FD-B615-A5C1A3057081}"/>
            </c:ext>
          </c:extLst>
        </c:ser>
        <c:ser>
          <c:idx val="5"/>
          <c:order val="5"/>
          <c:tx>
            <c:strRef>
              <c:f>'MAIN-Analisys'!$A$101:$A$101</c:f>
              <c:strCache>
                <c:ptCount val="1"/>
                <c:pt idx="0">
                  <c:v>Prices</c:v>
                </c:pt>
              </c:strCache>
            </c:strRef>
          </c:tx>
          <c:spPr>
            <a:ln w="34920">
              <a:solidFill>
                <a:srgbClr val="70AD47"/>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'MAIN-Analisys'!$B$116:$AA$116</c:f>
              <c:numCache>
                <c:formatCode>General</c:formatCode>
                <c:ptCount val="26"/>
                <c:pt idx="0">
                  <c:v>0</c:v>
                </c:pt>
                <c:pt idx="1">
                  <c:v>0</c:v>
                </c:pt>
                <c:pt idx="2">
                  <c:v>0</c:v>
                </c:pt>
                <c:pt idx="3">
                  <c:v>0</c:v>
                </c:pt>
                <c:pt idx="4">
                  <c:v>0</c:v>
                </c:pt>
                <c:pt idx="5">
                  <c:v>10</c:v>
                </c:pt>
                <c:pt idx="6">
                  <c:v>0</c:v>
                </c:pt>
                <c:pt idx="7">
                  <c:v>4</c:v>
                </c:pt>
                <c:pt idx="8">
                  <c:v>9</c:v>
                </c:pt>
                <c:pt idx="9">
                  <c:v>9</c:v>
                </c:pt>
                <c:pt idx="10">
                  <c:v>17</c:v>
                </c:pt>
                <c:pt idx="11">
                  <c:v>17</c:v>
                </c:pt>
                <c:pt idx="12">
                  <c:v>3</c:v>
                </c:pt>
                <c:pt idx="13">
                  <c:v>12</c:v>
                </c:pt>
                <c:pt idx="14">
                  <c:v>18</c:v>
                </c:pt>
                <c:pt idx="15">
                  <c:v>11</c:v>
                </c:pt>
                <c:pt idx="16">
                  <c:v>12</c:v>
                </c:pt>
                <c:pt idx="17">
                  <c:v>17</c:v>
                </c:pt>
                <c:pt idx="18">
                  <c:v>11</c:v>
                </c:pt>
                <c:pt idx="19">
                  <c:v>9</c:v>
                </c:pt>
              </c:numCache>
            </c:numRef>
          </c:val>
          <c:smooth val="0"/>
          <c:extLst>
            <c:ext xmlns:c16="http://schemas.microsoft.com/office/drawing/2014/chart" uri="{C3380CC4-5D6E-409C-BE32-E72D297353CC}">
              <c16:uniqueId val="{00000005-438F-49FD-B615-A5C1A3057081}"/>
            </c:ext>
          </c:extLst>
        </c:ser>
        <c:ser>
          <c:idx val="6"/>
          <c:order val="6"/>
          <c:tx>
            <c:v>Business Activity</c:v>
          </c:tx>
          <c:spPr>
            <a:ln>
              <a:solidFill>
                <a:schemeClr val="bg1"/>
              </a:solidFill>
            </a:ln>
          </c:spPr>
          <c:marker>
            <c:symbol val="none"/>
          </c:marker>
          <c:val>
            <c:numRef>
              <c:f>'MAIN-Analisys'!$B$136:$U$136</c:f>
              <c:numCache>
                <c:formatCode>General</c:formatCode>
                <c:ptCount val="20"/>
                <c:pt idx="0">
                  <c:v>0</c:v>
                </c:pt>
                <c:pt idx="1">
                  <c:v>16</c:v>
                </c:pt>
                <c:pt idx="2">
                  <c:v>0</c:v>
                </c:pt>
                <c:pt idx="3">
                  <c:v>-4</c:v>
                </c:pt>
                <c:pt idx="4">
                  <c:v>0</c:v>
                </c:pt>
                <c:pt idx="5">
                  <c:v>0</c:v>
                </c:pt>
                <c:pt idx="6">
                  <c:v>13</c:v>
                </c:pt>
                <c:pt idx="7">
                  <c:v>17</c:v>
                </c:pt>
                <c:pt idx="8">
                  <c:v>17</c:v>
                </c:pt>
                <c:pt idx="9">
                  <c:v>17</c:v>
                </c:pt>
                <c:pt idx="10">
                  <c:v>16</c:v>
                </c:pt>
                <c:pt idx="11">
                  <c:v>17</c:v>
                </c:pt>
                <c:pt idx="12">
                  <c:v>-2</c:v>
                </c:pt>
                <c:pt idx="13">
                  <c:v>16</c:v>
                </c:pt>
                <c:pt idx="14">
                  <c:v>10</c:v>
                </c:pt>
                <c:pt idx="15">
                  <c:v>0</c:v>
                </c:pt>
                <c:pt idx="16">
                  <c:v>9</c:v>
                </c:pt>
                <c:pt idx="17">
                  <c:v>-7</c:v>
                </c:pt>
                <c:pt idx="18">
                  <c:v>-3</c:v>
                </c:pt>
                <c:pt idx="19">
                  <c:v>13</c:v>
                </c:pt>
              </c:numCache>
            </c:numRef>
          </c:val>
          <c:smooth val="0"/>
          <c:extLst>
            <c:ext xmlns:c16="http://schemas.microsoft.com/office/drawing/2014/chart" uri="{C3380CC4-5D6E-409C-BE32-E72D297353CC}">
              <c16:uniqueId val="{00000001-A0CF-4FA8-8583-369CF3F7234F}"/>
            </c:ext>
          </c:extLst>
        </c:ser>
        <c:dLbls>
          <c:showLegendKey val="0"/>
          <c:showVal val="0"/>
          <c:showCatName val="0"/>
          <c:showSerName val="0"/>
          <c:showPercent val="0"/>
          <c:showBubbleSize val="0"/>
        </c:dLbls>
        <c:hiLowLines>
          <c:spPr>
            <a:ln>
              <a:noFill/>
            </a:ln>
          </c:spPr>
        </c:hiLowLines>
        <c:marker val="1"/>
        <c:smooth val="0"/>
        <c:axId val="24948470"/>
        <c:axId val="31905566"/>
      </c:lineChart>
      <c:catAx>
        <c:axId val="24948470"/>
        <c:scaling>
          <c:orientation val="minMax"/>
        </c:scaling>
        <c:delete val="0"/>
        <c:axPos val="b"/>
        <c:numFmt formatCode="General" sourceLinked="1"/>
        <c:majorTickMark val="none"/>
        <c:minorTickMark val="none"/>
        <c:tickLblPos val="nextTo"/>
        <c:spPr>
          <a:ln w="12600">
            <a:solidFill>
              <a:srgbClr val="F2F2F2">
                <a:alpha val="54000"/>
              </a:srgbClr>
            </a:solidFill>
            <a:round/>
          </a:ln>
        </c:spPr>
        <c:txPr>
          <a:bodyPr/>
          <a:lstStyle/>
          <a:p>
            <a:pPr>
              <a:defRPr sz="900" b="0" strike="noStrike" spc="-1">
                <a:solidFill>
                  <a:srgbClr val="D9D9D9"/>
                </a:solidFill>
                <a:latin typeface="Calibri"/>
              </a:defRPr>
            </a:pPr>
            <a:endParaRPr lang="bg-BG"/>
          </a:p>
        </c:txPr>
        <c:crossAx val="31905566"/>
        <c:crosses val="autoZero"/>
        <c:auto val="1"/>
        <c:lblAlgn val="ctr"/>
        <c:lblOffset val="100"/>
        <c:noMultiLvlLbl val="1"/>
      </c:catAx>
      <c:valAx>
        <c:axId val="31905566"/>
        <c:scaling>
          <c:orientation val="minMax"/>
        </c:scaling>
        <c:delete val="0"/>
        <c:axPos val="l"/>
        <c:majorGridlines>
          <c:spPr>
            <a:ln w="9360">
              <a:solidFill>
                <a:srgbClr val="F2F2F2">
                  <a:alpha val="10000"/>
                </a:srgbClr>
              </a:solidFill>
              <a:round/>
            </a:ln>
          </c:spPr>
        </c:majorGridlines>
        <c:numFmt formatCode="General" sourceLinked="0"/>
        <c:majorTickMark val="none"/>
        <c:minorTickMark val="none"/>
        <c:tickLblPos val="nextTo"/>
        <c:spPr>
          <a:ln w="6480">
            <a:noFill/>
          </a:ln>
        </c:spPr>
        <c:txPr>
          <a:bodyPr/>
          <a:lstStyle/>
          <a:p>
            <a:pPr>
              <a:defRPr sz="900" b="0" strike="noStrike" spc="-1">
                <a:solidFill>
                  <a:srgbClr val="D9D9D9"/>
                </a:solidFill>
                <a:latin typeface="Calibri"/>
              </a:defRPr>
            </a:pPr>
            <a:endParaRPr lang="bg-BG"/>
          </a:p>
        </c:txPr>
        <c:crossAx val="24948470"/>
        <c:crosses val="autoZero"/>
        <c:crossBetween val="between"/>
      </c:valAx>
      <c:spPr>
        <a:noFill/>
        <a:ln>
          <a:noFill/>
        </a:ln>
      </c:spPr>
    </c:plotArea>
    <c:legend>
      <c:legendPos val="b"/>
      <c:overlay val="0"/>
      <c:spPr>
        <a:noFill/>
        <a:ln>
          <a:noFill/>
        </a:ln>
      </c:spPr>
      <c:txPr>
        <a:bodyPr/>
        <a:lstStyle/>
        <a:p>
          <a:pPr>
            <a:defRPr sz="900" b="0" strike="noStrike" spc="-1">
              <a:solidFill>
                <a:srgbClr val="D9D9D9"/>
              </a:solidFill>
              <a:latin typeface="Calibri"/>
            </a:defRPr>
          </a:pPr>
          <a:endParaRPr lang="bg-BG"/>
        </a:p>
      </c:txPr>
    </c:legend>
    <c:plotVisOnly val="1"/>
    <c:dispBlanksAs val="gap"/>
    <c:showDLblsOverMax val="1"/>
  </c:chart>
  <c:spPr>
    <a:gradFill>
      <a:gsLst>
        <a:gs pos="0">
          <a:srgbClr val="595959"/>
        </a:gs>
        <a:gs pos="100000">
          <a:srgbClr val="262626"/>
        </a:gs>
      </a:gsLst>
      <a:path path="circle"/>
    </a:gradFill>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600" b="1" strike="noStrike" spc="97">
                <a:solidFill>
                  <a:srgbClr val="F2F2F2"/>
                </a:solidFill>
                <a:latin typeface="Calibri"/>
              </a:defRPr>
            </a:pPr>
            <a:r>
              <a:rPr lang="en-US" sz="1600" b="1" strike="noStrike" spc="97">
                <a:solidFill>
                  <a:srgbClr val="F2F2F2"/>
                </a:solidFill>
                <a:latin typeface="Calibri"/>
              </a:rPr>
              <a:t>Accommodation &amp; Food Services</a:t>
            </a:r>
          </a:p>
        </c:rich>
      </c:tx>
      <c:layout>
        <c:manualLayout>
          <c:xMode val="edge"/>
          <c:yMode val="edge"/>
          <c:x val="0.24662597300778399"/>
          <c:y val="4.1535433070866101E-2"/>
        </c:manualLayout>
      </c:layout>
      <c:overlay val="0"/>
      <c:spPr>
        <a:noFill/>
        <a:ln>
          <a:noFill/>
        </a:ln>
      </c:spPr>
    </c:title>
    <c:autoTitleDeleted val="0"/>
    <c:plotArea>
      <c:layout/>
      <c:barChart>
        <c:barDir val="col"/>
        <c:grouping val="clustered"/>
        <c:varyColors val="0"/>
        <c:ser>
          <c:idx val="0"/>
          <c:order val="0"/>
          <c:tx>
            <c:strRef>
              <c:f>'MAIN-Analisys'!$A$1:$A$1</c:f>
              <c:strCache>
                <c:ptCount val="1"/>
                <c:pt idx="0">
                  <c:v>Main Services PMI</c:v>
                </c:pt>
              </c:strCache>
            </c:strRef>
          </c:tx>
          <c:spPr>
            <a:gradFill>
              <a:gsLst>
                <a:gs pos="0">
                  <a:srgbClr val="71A6DA"/>
                </a:gs>
                <a:gs pos="100000">
                  <a:srgbClr val="549ADA"/>
                </a:gs>
              </a:gsLst>
              <a:lin ang="5400000"/>
            </a:gradFill>
            <a:ln>
              <a:noFill/>
            </a:ln>
          </c:spPr>
          <c:invertIfNegative val="0"/>
          <c:dLbls>
            <c:spPr>
              <a:noFill/>
              <a:ln>
                <a:noFill/>
              </a:ln>
              <a:effectLst/>
            </c:spPr>
            <c:txPr>
              <a:bodyPr/>
              <a:lstStyle/>
              <a:p>
                <a:pPr>
                  <a:defRPr sz="1000" b="0" strike="noStrike" spc="-1">
                    <a:solidFill>
                      <a:srgbClr val="000000"/>
                    </a:solidFill>
                    <a:latin typeface="Calibri"/>
                  </a:defRPr>
                </a:pPr>
                <a:endParaRPr lang="bg-BG"/>
              </a:p>
            </c:txPr>
            <c:dLblPos val="outEnd"/>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'MAIN-Analisys'!$B$17:$AA$17</c:f>
              <c:numCache>
                <c:formatCode>General</c:formatCode>
                <c:ptCount val="26"/>
                <c:pt idx="0">
                  <c:v>12</c:v>
                </c:pt>
                <c:pt idx="1">
                  <c:v>9</c:v>
                </c:pt>
                <c:pt idx="2">
                  <c:v>14</c:v>
                </c:pt>
                <c:pt idx="3">
                  <c:v>10</c:v>
                </c:pt>
                <c:pt idx="4">
                  <c:v>-3</c:v>
                </c:pt>
                <c:pt idx="5">
                  <c:v>6</c:v>
                </c:pt>
                <c:pt idx="6">
                  <c:v>17</c:v>
                </c:pt>
                <c:pt idx="7">
                  <c:v>12</c:v>
                </c:pt>
                <c:pt idx="8">
                  <c:v>1</c:v>
                </c:pt>
                <c:pt idx="9">
                  <c:v>6</c:v>
                </c:pt>
                <c:pt idx="10">
                  <c:v>10</c:v>
                </c:pt>
                <c:pt idx="11">
                  <c:v>15</c:v>
                </c:pt>
                <c:pt idx="12">
                  <c:v>17</c:v>
                </c:pt>
                <c:pt idx="13">
                  <c:v>11</c:v>
                </c:pt>
                <c:pt idx="14">
                  <c:v>8</c:v>
                </c:pt>
                <c:pt idx="15">
                  <c:v>1</c:v>
                </c:pt>
                <c:pt idx="16">
                  <c:v>16</c:v>
                </c:pt>
                <c:pt idx="17">
                  <c:v>1</c:v>
                </c:pt>
                <c:pt idx="18">
                  <c:v>-1</c:v>
                </c:pt>
                <c:pt idx="19">
                  <c:v>12</c:v>
                </c:pt>
              </c:numCache>
            </c:numRef>
          </c:val>
          <c:extLst>
            <c:ext xmlns:c16="http://schemas.microsoft.com/office/drawing/2014/chart" uri="{C3380CC4-5D6E-409C-BE32-E72D297353CC}">
              <c16:uniqueId val="{00000000-70D8-4309-8EC7-720FA2F95024}"/>
            </c:ext>
          </c:extLst>
        </c:ser>
        <c:dLbls>
          <c:showLegendKey val="0"/>
          <c:showVal val="0"/>
          <c:showCatName val="0"/>
          <c:showSerName val="0"/>
          <c:showPercent val="0"/>
          <c:showBubbleSize val="0"/>
        </c:dLbls>
        <c:gapWidth val="219"/>
        <c:overlap val="-27"/>
        <c:axId val="43012502"/>
        <c:axId val="61390288"/>
      </c:barChart>
      <c:lineChart>
        <c:grouping val="standard"/>
        <c:varyColors val="0"/>
        <c:ser>
          <c:idx val="1"/>
          <c:order val="1"/>
          <c:tx>
            <c:strRef>
              <c:f>'MAIN-Analisys'!$A$21:$A$21</c:f>
              <c:strCache>
                <c:ptCount val="1"/>
                <c:pt idx="0">
                  <c:v>New orders</c:v>
                </c:pt>
              </c:strCache>
            </c:strRef>
          </c:tx>
          <c:spPr>
            <a:ln w="34920">
              <a:solidFill>
                <a:srgbClr val="ED7D31"/>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'MAIN-Analisys'!$B$37:$AA$37</c:f>
              <c:numCache>
                <c:formatCode>General</c:formatCode>
                <c:ptCount val="26"/>
                <c:pt idx="0">
                  <c:v>9</c:v>
                </c:pt>
                <c:pt idx="1">
                  <c:v>5</c:v>
                </c:pt>
                <c:pt idx="2">
                  <c:v>12</c:v>
                </c:pt>
                <c:pt idx="3">
                  <c:v>4</c:v>
                </c:pt>
                <c:pt idx="4">
                  <c:v>-2</c:v>
                </c:pt>
                <c:pt idx="5">
                  <c:v>-2</c:v>
                </c:pt>
                <c:pt idx="6">
                  <c:v>10</c:v>
                </c:pt>
                <c:pt idx="7">
                  <c:v>13</c:v>
                </c:pt>
                <c:pt idx="8">
                  <c:v>1</c:v>
                </c:pt>
                <c:pt idx="9">
                  <c:v>3</c:v>
                </c:pt>
                <c:pt idx="10">
                  <c:v>10</c:v>
                </c:pt>
                <c:pt idx="11">
                  <c:v>10</c:v>
                </c:pt>
                <c:pt idx="12">
                  <c:v>12</c:v>
                </c:pt>
                <c:pt idx="13">
                  <c:v>2</c:v>
                </c:pt>
                <c:pt idx="14">
                  <c:v>9</c:v>
                </c:pt>
                <c:pt idx="15">
                  <c:v>3</c:v>
                </c:pt>
                <c:pt idx="16">
                  <c:v>12</c:v>
                </c:pt>
                <c:pt idx="17">
                  <c:v>-3</c:v>
                </c:pt>
                <c:pt idx="18">
                  <c:v>-3</c:v>
                </c:pt>
                <c:pt idx="19">
                  <c:v>5</c:v>
                </c:pt>
              </c:numCache>
            </c:numRef>
          </c:val>
          <c:smooth val="0"/>
          <c:extLst>
            <c:ext xmlns:c16="http://schemas.microsoft.com/office/drawing/2014/chart" uri="{C3380CC4-5D6E-409C-BE32-E72D297353CC}">
              <c16:uniqueId val="{00000001-70D8-4309-8EC7-720FA2F95024}"/>
            </c:ext>
          </c:extLst>
        </c:ser>
        <c:ser>
          <c:idx val="2"/>
          <c:order val="2"/>
          <c:tx>
            <c:strRef>
              <c:f>'MAIN-Analisys'!$A$41:$A$41</c:f>
              <c:strCache>
                <c:ptCount val="1"/>
                <c:pt idx="0">
                  <c:v>Employment</c:v>
                </c:pt>
              </c:strCache>
            </c:strRef>
          </c:tx>
          <c:spPr>
            <a:ln w="34920">
              <a:solidFill>
                <a:srgbClr val="A5A5A5"/>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'MAIN-Analisys'!$B$57:$AA$57</c:f>
              <c:numCache>
                <c:formatCode>General</c:formatCode>
                <c:ptCount val="26"/>
                <c:pt idx="0">
                  <c:v>6</c:v>
                </c:pt>
                <c:pt idx="1">
                  <c:v>0</c:v>
                </c:pt>
                <c:pt idx="2">
                  <c:v>0</c:v>
                </c:pt>
                <c:pt idx="3">
                  <c:v>3</c:v>
                </c:pt>
                <c:pt idx="4">
                  <c:v>-7</c:v>
                </c:pt>
                <c:pt idx="5">
                  <c:v>4</c:v>
                </c:pt>
                <c:pt idx="6">
                  <c:v>8</c:v>
                </c:pt>
                <c:pt idx="7">
                  <c:v>4</c:v>
                </c:pt>
                <c:pt idx="8">
                  <c:v>-3</c:v>
                </c:pt>
                <c:pt idx="9">
                  <c:v>-3</c:v>
                </c:pt>
                <c:pt idx="10">
                  <c:v>0</c:v>
                </c:pt>
                <c:pt idx="11">
                  <c:v>12</c:v>
                </c:pt>
                <c:pt idx="12">
                  <c:v>0</c:v>
                </c:pt>
                <c:pt idx="13">
                  <c:v>4</c:v>
                </c:pt>
                <c:pt idx="14">
                  <c:v>-1</c:v>
                </c:pt>
                <c:pt idx="15">
                  <c:v>-3</c:v>
                </c:pt>
                <c:pt idx="16">
                  <c:v>10</c:v>
                </c:pt>
                <c:pt idx="17">
                  <c:v>2</c:v>
                </c:pt>
                <c:pt idx="18">
                  <c:v>0</c:v>
                </c:pt>
                <c:pt idx="19">
                  <c:v>13</c:v>
                </c:pt>
              </c:numCache>
            </c:numRef>
          </c:val>
          <c:smooth val="0"/>
          <c:extLst>
            <c:ext xmlns:c16="http://schemas.microsoft.com/office/drawing/2014/chart" uri="{C3380CC4-5D6E-409C-BE32-E72D297353CC}">
              <c16:uniqueId val="{00000002-70D8-4309-8EC7-720FA2F95024}"/>
            </c:ext>
          </c:extLst>
        </c:ser>
        <c:ser>
          <c:idx val="3"/>
          <c:order val="3"/>
          <c:tx>
            <c:strRef>
              <c:f>'MAIN-Analisys'!$A$61:$A$61</c:f>
              <c:strCache>
                <c:ptCount val="1"/>
                <c:pt idx="0">
                  <c:v>Deliveries</c:v>
                </c:pt>
              </c:strCache>
            </c:strRef>
          </c:tx>
          <c:spPr>
            <a:ln w="34920">
              <a:solidFill>
                <a:srgbClr val="FFC000"/>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'MAIN-Analisys'!$B$77:$AA$77</c:f>
              <c:numCache>
                <c:formatCode>General</c:formatCode>
                <c:ptCount val="26"/>
                <c:pt idx="0">
                  <c:v>-10</c:v>
                </c:pt>
                <c:pt idx="1">
                  <c:v>-6</c:v>
                </c:pt>
                <c:pt idx="2">
                  <c:v>-10</c:v>
                </c:pt>
                <c:pt idx="3">
                  <c:v>-6</c:v>
                </c:pt>
                <c:pt idx="4">
                  <c:v>-9</c:v>
                </c:pt>
                <c:pt idx="5">
                  <c:v>-11</c:v>
                </c:pt>
                <c:pt idx="6">
                  <c:v>-5</c:v>
                </c:pt>
                <c:pt idx="7">
                  <c:v>0</c:v>
                </c:pt>
                <c:pt idx="8">
                  <c:v>0</c:v>
                </c:pt>
                <c:pt idx="9">
                  <c:v>-17</c:v>
                </c:pt>
                <c:pt idx="10">
                  <c:v>-17</c:v>
                </c:pt>
                <c:pt idx="11">
                  <c:v>-16</c:v>
                </c:pt>
                <c:pt idx="12">
                  <c:v>17</c:v>
                </c:pt>
                <c:pt idx="13">
                  <c:v>-16</c:v>
                </c:pt>
                <c:pt idx="14">
                  <c:v>-15</c:v>
                </c:pt>
                <c:pt idx="15">
                  <c:v>-16</c:v>
                </c:pt>
                <c:pt idx="16">
                  <c:v>-15</c:v>
                </c:pt>
                <c:pt idx="17">
                  <c:v>-16</c:v>
                </c:pt>
                <c:pt idx="18">
                  <c:v>-12</c:v>
                </c:pt>
                <c:pt idx="19">
                  <c:v>-2</c:v>
                </c:pt>
              </c:numCache>
            </c:numRef>
          </c:val>
          <c:smooth val="0"/>
          <c:extLst>
            <c:ext xmlns:c16="http://schemas.microsoft.com/office/drawing/2014/chart" uri="{C3380CC4-5D6E-409C-BE32-E72D297353CC}">
              <c16:uniqueId val="{00000003-70D8-4309-8EC7-720FA2F95024}"/>
            </c:ext>
          </c:extLst>
        </c:ser>
        <c:ser>
          <c:idx val="4"/>
          <c:order val="4"/>
          <c:tx>
            <c:strRef>
              <c:f>'MAIN-Analisys'!$A$81:$A$81</c:f>
              <c:strCache>
                <c:ptCount val="1"/>
                <c:pt idx="0">
                  <c:v>Inventory</c:v>
                </c:pt>
              </c:strCache>
            </c:strRef>
          </c:tx>
          <c:spPr>
            <a:ln w="34920">
              <a:solidFill>
                <a:srgbClr val="4472C4"/>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'MAIN-Analisys'!$B$97:$AA$97</c:f>
              <c:numCache>
                <c:formatCode>General</c:formatCode>
                <c:ptCount val="26"/>
                <c:pt idx="0">
                  <c:v>-3</c:v>
                </c:pt>
                <c:pt idx="1">
                  <c:v>-4</c:v>
                </c:pt>
                <c:pt idx="2">
                  <c:v>0</c:v>
                </c:pt>
                <c:pt idx="3">
                  <c:v>4</c:v>
                </c:pt>
                <c:pt idx="4">
                  <c:v>9</c:v>
                </c:pt>
                <c:pt idx="5">
                  <c:v>0</c:v>
                </c:pt>
                <c:pt idx="6">
                  <c:v>0</c:v>
                </c:pt>
                <c:pt idx="7">
                  <c:v>0</c:v>
                </c:pt>
                <c:pt idx="8">
                  <c:v>-2</c:v>
                </c:pt>
                <c:pt idx="9">
                  <c:v>-6</c:v>
                </c:pt>
                <c:pt idx="10">
                  <c:v>0</c:v>
                </c:pt>
                <c:pt idx="11">
                  <c:v>6</c:v>
                </c:pt>
                <c:pt idx="12">
                  <c:v>6</c:v>
                </c:pt>
                <c:pt idx="13">
                  <c:v>3</c:v>
                </c:pt>
                <c:pt idx="14">
                  <c:v>5</c:v>
                </c:pt>
                <c:pt idx="15">
                  <c:v>5</c:v>
                </c:pt>
                <c:pt idx="16">
                  <c:v>0</c:v>
                </c:pt>
                <c:pt idx="17">
                  <c:v>2</c:v>
                </c:pt>
                <c:pt idx="18">
                  <c:v>-4</c:v>
                </c:pt>
                <c:pt idx="19">
                  <c:v>3</c:v>
                </c:pt>
              </c:numCache>
            </c:numRef>
          </c:val>
          <c:smooth val="0"/>
          <c:extLst>
            <c:ext xmlns:c16="http://schemas.microsoft.com/office/drawing/2014/chart" uri="{C3380CC4-5D6E-409C-BE32-E72D297353CC}">
              <c16:uniqueId val="{00000004-70D8-4309-8EC7-720FA2F95024}"/>
            </c:ext>
          </c:extLst>
        </c:ser>
        <c:ser>
          <c:idx val="5"/>
          <c:order val="5"/>
          <c:tx>
            <c:strRef>
              <c:f>'MAIN-Analisys'!$A$101:$A$101</c:f>
              <c:strCache>
                <c:ptCount val="1"/>
                <c:pt idx="0">
                  <c:v>Prices</c:v>
                </c:pt>
              </c:strCache>
            </c:strRef>
          </c:tx>
          <c:spPr>
            <a:ln w="34920">
              <a:solidFill>
                <a:srgbClr val="70AD47"/>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'MAIN-Analisys'!$B$117:$AA$117</c:f>
              <c:numCache>
                <c:formatCode>General</c:formatCode>
                <c:ptCount val="26"/>
                <c:pt idx="0">
                  <c:v>14</c:v>
                </c:pt>
                <c:pt idx="1">
                  <c:v>-3</c:v>
                </c:pt>
                <c:pt idx="2">
                  <c:v>-1</c:v>
                </c:pt>
                <c:pt idx="3">
                  <c:v>7</c:v>
                </c:pt>
                <c:pt idx="4">
                  <c:v>12</c:v>
                </c:pt>
                <c:pt idx="5">
                  <c:v>12</c:v>
                </c:pt>
                <c:pt idx="6">
                  <c:v>16</c:v>
                </c:pt>
                <c:pt idx="7">
                  <c:v>7</c:v>
                </c:pt>
                <c:pt idx="8">
                  <c:v>8</c:v>
                </c:pt>
                <c:pt idx="9">
                  <c:v>13</c:v>
                </c:pt>
                <c:pt idx="10">
                  <c:v>14</c:v>
                </c:pt>
                <c:pt idx="11">
                  <c:v>0</c:v>
                </c:pt>
                <c:pt idx="12">
                  <c:v>7</c:v>
                </c:pt>
                <c:pt idx="13">
                  <c:v>8</c:v>
                </c:pt>
                <c:pt idx="14">
                  <c:v>6</c:v>
                </c:pt>
                <c:pt idx="15">
                  <c:v>16</c:v>
                </c:pt>
                <c:pt idx="16">
                  <c:v>18</c:v>
                </c:pt>
                <c:pt idx="17">
                  <c:v>14</c:v>
                </c:pt>
                <c:pt idx="18">
                  <c:v>2</c:v>
                </c:pt>
                <c:pt idx="19">
                  <c:v>3</c:v>
                </c:pt>
              </c:numCache>
            </c:numRef>
          </c:val>
          <c:smooth val="0"/>
          <c:extLst>
            <c:ext xmlns:c16="http://schemas.microsoft.com/office/drawing/2014/chart" uri="{C3380CC4-5D6E-409C-BE32-E72D297353CC}">
              <c16:uniqueId val="{00000005-70D8-4309-8EC7-720FA2F95024}"/>
            </c:ext>
          </c:extLst>
        </c:ser>
        <c:ser>
          <c:idx val="6"/>
          <c:order val="6"/>
          <c:tx>
            <c:v>Business Activity</c:v>
          </c:tx>
          <c:spPr>
            <a:ln>
              <a:solidFill>
                <a:schemeClr val="bg1"/>
              </a:solidFill>
            </a:ln>
          </c:spPr>
          <c:marker>
            <c:symbol val="none"/>
          </c:marker>
          <c:val>
            <c:numRef>
              <c:f>'MAIN-Analisys'!$B$137:$U$137</c:f>
              <c:numCache>
                <c:formatCode>General</c:formatCode>
                <c:ptCount val="20"/>
                <c:pt idx="0">
                  <c:v>2</c:v>
                </c:pt>
                <c:pt idx="1">
                  <c:v>13</c:v>
                </c:pt>
                <c:pt idx="2">
                  <c:v>15</c:v>
                </c:pt>
                <c:pt idx="3">
                  <c:v>10</c:v>
                </c:pt>
                <c:pt idx="4">
                  <c:v>-4</c:v>
                </c:pt>
                <c:pt idx="5">
                  <c:v>6</c:v>
                </c:pt>
                <c:pt idx="6">
                  <c:v>14</c:v>
                </c:pt>
                <c:pt idx="7">
                  <c:v>14</c:v>
                </c:pt>
                <c:pt idx="8">
                  <c:v>10</c:v>
                </c:pt>
                <c:pt idx="9">
                  <c:v>4</c:v>
                </c:pt>
                <c:pt idx="10">
                  <c:v>4</c:v>
                </c:pt>
                <c:pt idx="11">
                  <c:v>12</c:v>
                </c:pt>
                <c:pt idx="12">
                  <c:v>14</c:v>
                </c:pt>
                <c:pt idx="13">
                  <c:v>6</c:v>
                </c:pt>
                <c:pt idx="14">
                  <c:v>3</c:v>
                </c:pt>
                <c:pt idx="15">
                  <c:v>0</c:v>
                </c:pt>
                <c:pt idx="16">
                  <c:v>15</c:v>
                </c:pt>
                <c:pt idx="17">
                  <c:v>-4</c:v>
                </c:pt>
                <c:pt idx="18">
                  <c:v>-1</c:v>
                </c:pt>
                <c:pt idx="19">
                  <c:v>8</c:v>
                </c:pt>
              </c:numCache>
            </c:numRef>
          </c:val>
          <c:smooth val="0"/>
          <c:extLst>
            <c:ext xmlns:c16="http://schemas.microsoft.com/office/drawing/2014/chart" uri="{C3380CC4-5D6E-409C-BE32-E72D297353CC}">
              <c16:uniqueId val="{00000001-5582-4E00-9994-E63FE709E844}"/>
            </c:ext>
          </c:extLst>
        </c:ser>
        <c:dLbls>
          <c:showLegendKey val="0"/>
          <c:showVal val="0"/>
          <c:showCatName val="0"/>
          <c:showSerName val="0"/>
          <c:showPercent val="0"/>
          <c:showBubbleSize val="0"/>
        </c:dLbls>
        <c:hiLowLines>
          <c:spPr>
            <a:ln>
              <a:noFill/>
            </a:ln>
          </c:spPr>
        </c:hiLowLines>
        <c:marker val="1"/>
        <c:smooth val="0"/>
        <c:axId val="43012502"/>
        <c:axId val="61390288"/>
      </c:lineChart>
      <c:catAx>
        <c:axId val="43012502"/>
        <c:scaling>
          <c:orientation val="minMax"/>
        </c:scaling>
        <c:delete val="0"/>
        <c:axPos val="b"/>
        <c:numFmt formatCode="General" sourceLinked="1"/>
        <c:majorTickMark val="none"/>
        <c:minorTickMark val="none"/>
        <c:tickLblPos val="nextTo"/>
        <c:spPr>
          <a:ln w="12600">
            <a:solidFill>
              <a:srgbClr val="F2F2F2">
                <a:alpha val="54000"/>
              </a:srgbClr>
            </a:solidFill>
            <a:round/>
          </a:ln>
        </c:spPr>
        <c:txPr>
          <a:bodyPr/>
          <a:lstStyle/>
          <a:p>
            <a:pPr>
              <a:defRPr sz="900" b="0" strike="noStrike" spc="-1">
                <a:solidFill>
                  <a:srgbClr val="D9D9D9"/>
                </a:solidFill>
                <a:latin typeface="Calibri"/>
              </a:defRPr>
            </a:pPr>
            <a:endParaRPr lang="bg-BG"/>
          </a:p>
        </c:txPr>
        <c:crossAx val="61390288"/>
        <c:crosses val="autoZero"/>
        <c:auto val="1"/>
        <c:lblAlgn val="ctr"/>
        <c:lblOffset val="100"/>
        <c:noMultiLvlLbl val="1"/>
      </c:catAx>
      <c:valAx>
        <c:axId val="61390288"/>
        <c:scaling>
          <c:orientation val="minMax"/>
        </c:scaling>
        <c:delete val="0"/>
        <c:axPos val="l"/>
        <c:majorGridlines>
          <c:spPr>
            <a:ln w="9360">
              <a:solidFill>
                <a:srgbClr val="F2F2F2">
                  <a:alpha val="10000"/>
                </a:srgbClr>
              </a:solidFill>
              <a:round/>
            </a:ln>
          </c:spPr>
        </c:majorGridlines>
        <c:numFmt formatCode="General" sourceLinked="0"/>
        <c:majorTickMark val="none"/>
        <c:minorTickMark val="none"/>
        <c:tickLblPos val="nextTo"/>
        <c:spPr>
          <a:ln w="6480">
            <a:noFill/>
          </a:ln>
        </c:spPr>
        <c:txPr>
          <a:bodyPr/>
          <a:lstStyle/>
          <a:p>
            <a:pPr>
              <a:defRPr sz="900" b="0" strike="noStrike" spc="-1">
                <a:solidFill>
                  <a:srgbClr val="D9D9D9"/>
                </a:solidFill>
                <a:latin typeface="Calibri"/>
              </a:defRPr>
            </a:pPr>
            <a:endParaRPr lang="bg-BG"/>
          </a:p>
        </c:txPr>
        <c:crossAx val="43012502"/>
        <c:crosses val="autoZero"/>
        <c:crossBetween val="between"/>
      </c:valAx>
      <c:spPr>
        <a:noFill/>
        <a:ln>
          <a:noFill/>
        </a:ln>
      </c:spPr>
    </c:plotArea>
    <c:legend>
      <c:legendPos val="b"/>
      <c:overlay val="0"/>
      <c:spPr>
        <a:noFill/>
        <a:ln>
          <a:noFill/>
        </a:ln>
      </c:spPr>
      <c:txPr>
        <a:bodyPr/>
        <a:lstStyle/>
        <a:p>
          <a:pPr>
            <a:defRPr sz="900" b="0" strike="noStrike" spc="-1">
              <a:solidFill>
                <a:srgbClr val="D9D9D9"/>
              </a:solidFill>
              <a:latin typeface="Calibri"/>
            </a:defRPr>
          </a:pPr>
          <a:endParaRPr lang="bg-BG"/>
        </a:p>
      </c:txPr>
    </c:legend>
    <c:plotVisOnly val="1"/>
    <c:dispBlanksAs val="gap"/>
    <c:showDLblsOverMax val="1"/>
  </c:chart>
  <c:spPr>
    <a:gradFill>
      <a:gsLst>
        <a:gs pos="0">
          <a:srgbClr val="595959"/>
        </a:gs>
        <a:gs pos="100000">
          <a:srgbClr val="262626"/>
        </a:gs>
      </a:gsLst>
      <a:path path="circle"/>
    </a:gradFill>
    <a:ln>
      <a:noFill/>
    </a:ln>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600" b="1" strike="noStrike" spc="97">
                <a:solidFill>
                  <a:srgbClr val="F2F2F2"/>
                </a:solidFill>
                <a:latin typeface="Calibri"/>
              </a:defRPr>
            </a:pPr>
            <a:r>
              <a:rPr lang="en-US" sz="1600" b="1" strike="noStrike" spc="97">
                <a:solidFill>
                  <a:srgbClr val="F2F2F2"/>
                </a:solidFill>
                <a:latin typeface="Calibri"/>
              </a:rPr>
              <a:t>Other Services</a:t>
            </a:r>
          </a:p>
        </c:rich>
      </c:tx>
      <c:overlay val="0"/>
      <c:spPr>
        <a:noFill/>
        <a:ln>
          <a:noFill/>
        </a:ln>
      </c:spPr>
    </c:title>
    <c:autoTitleDeleted val="0"/>
    <c:plotArea>
      <c:layout/>
      <c:barChart>
        <c:barDir val="col"/>
        <c:grouping val="clustered"/>
        <c:varyColors val="0"/>
        <c:ser>
          <c:idx val="0"/>
          <c:order val="0"/>
          <c:tx>
            <c:strRef>
              <c:f>'MAIN-Analisys'!$A$1:$A$1</c:f>
              <c:strCache>
                <c:ptCount val="1"/>
                <c:pt idx="0">
                  <c:v>Main Services PMI</c:v>
                </c:pt>
              </c:strCache>
            </c:strRef>
          </c:tx>
          <c:spPr>
            <a:gradFill>
              <a:gsLst>
                <a:gs pos="0">
                  <a:srgbClr val="71A6DA"/>
                </a:gs>
                <a:gs pos="100000">
                  <a:srgbClr val="549ADA"/>
                </a:gs>
              </a:gsLst>
              <a:lin ang="5400000"/>
            </a:gradFill>
            <a:ln>
              <a:noFill/>
            </a:ln>
          </c:spPr>
          <c:invertIfNegative val="0"/>
          <c:dLbls>
            <c:spPr>
              <a:noFill/>
              <a:ln>
                <a:noFill/>
              </a:ln>
              <a:effectLst/>
            </c:spPr>
            <c:txPr>
              <a:bodyPr/>
              <a:lstStyle/>
              <a:p>
                <a:pPr>
                  <a:defRPr sz="1000" b="0" strike="noStrike" spc="-1">
                    <a:solidFill>
                      <a:srgbClr val="000000"/>
                    </a:solidFill>
                    <a:latin typeface="Calibri"/>
                  </a:defRPr>
                </a:pPr>
                <a:endParaRPr lang="bg-BG"/>
              </a:p>
            </c:txPr>
            <c:dLblPos val="outEnd"/>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'MAIN-Analisys'!$B$18:$AA$18</c:f>
              <c:numCache>
                <c:formatCode>General</c:formatCode>
                <c:ptCount val="26"/>
                <c:pt idx="0">
                  <c:v>-1</c:v>
                </c:pt>
                <c:pt idx="1">
                  <c:v>1</c:v>
                </c:pt>
                <c:pt idx="2">
                  <c:v>1</c:v>
                </c:pt>
                <c:pt idx="3">
                  <c:v>-3</c:v>
                </c:pt>
                <c:pt idx="4">
                  <c:v>-2</c:v>
                </c:pt>
                <c:pt idx="5">
                  <c:v>5</c:v>
                </c:pt>
                <c:pt idx="6">
                  <c:v>2</c:v>
                </c:pt>
                <c:pt idx="7">
                  <c:v>1</c:v>
                </c:pt>
                <c:pt idx="8">
                  <c:v>8</c:v>
                </c:pt>
                <c:pt idx="9">
                  <c:v>8</c:v>
                </c:pt>
                <c:pt idx="10">
                  <c:v>15</c:v>
                </c:pt>
                <c:pt idx="11">
                  <c:v>9</c:v>
                </c:pt>
                <c:pt idx="12">
                  <c:v>11</c:v>
                </c:pt>
                <c:pt idx="13">
                  <c:v>7</c:v>
                </c:pt>
                <c:pt idx="14">
                  <c:v>14</c:v>
                </c:pt>
                <c:pt idx="15">
                  <c:v>6</c:v>
                </c:pt>
                <c:pt idx="16">
                  <c:v>10</c:v>
                </c:pt>
                <c:pt idx="17">
                  <c:v>8</c:v>
                </c:pt>
                <c:pt idx="18">
                  <c:v>1</c:v>
                </c:pt>
                <c:pt idx="19">
                  <c:v>11</c:v>
                </c:pt>
              </c:numCache>
            </c:numRef>
          </c:val>
          <c:extLst>
            <c:ext xmlns:c16="http://schemas.microsoft.com/office/drawing/2014/chart" uri="{C3380CC4-5D6E-409C-BE32-E72D297353CC}">
              <c16:uniqueId val="{00000000-B6DC-4C14-9350-18532F6F83A7}"/>
            </c:ext>
          </c:extLst>
        </c:ser>
        <c:dLbls>
          <c:showLegendKey val="0"/>
          <c:showVal val="0"/>
          <c:showCatName val="0"/>
          <c:showSerName val="0"/>
          <c:showPercent val="0"/>
          <c:showBubbleSize val="0"/>
        </c:dLbls>
        <c:gapWidth val="219"/>
        <c:overlap val="-27"/>
        <c:axId val="31522556"/>
        <c:axId val="78442887"/>
      </c:barChart>
      <c:lineChart>
        <c:grouping val="standard"/>
        <c:varyColors val="0"/>
        <c:ser>
          <c:idx val="1"/>
          <c:order val="1"/>
          <c:tx>
            <c:strRef>
              <c:f>'MAIN-Analisys'!$A$21:$A$21</c:f>
              <c:strCache>
                <c:ptCount val="1"/>
                <c:pt idx="0">
                  <c:v>New orders</c:v>
                </c:pt>
              </c:strCache>
            </c:strRef>
          </c:tx>
          <c:spPr>
            <a:ln w="34920">
              <a:solidFill>
                <a:srgbClr val="ED7D31"/>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'MAIN-Analisys'!$B$38:$AA$38</c:f>
              <c:numCache>
                <c:formatCode>General</c:formatCode>
                <c:ptCount val="26"/>
                <c:pt idx="0">
                  <c:v>0</c:v>
                </c:pt>
                <c:pt idx="1">
                  <c:v>7</c:v>
                </c:pt>
                <c:pt idx="2">
                  <c:v>5</c:v>
                </c:pt>
                <c:pt idx="3">
                  <c:v>-2</c:v>
                </c:pt>
                <c:pt idx="4">
                  <c:v>-1</c:v>
                </c:pt>
                <c:pt idx="5">
                  <c:v>0</c:v>
                </c:pt>
                <c:pt idx="6">
                  <c:v>-1</c:v>
                </c:pt>
                <c:pt idx="7">
                  <c:v>0</c:v>
                </c:pt>
                <c:pt idx="8">
                  <c:v>14</c:v>
                </c:pt>
                <c:pt idx="9">
                  <c:v>8</c:v>
                </c:pt>
                <c:pt idx="10">
                  <c:v>13</c:v>
                </c:pt>
                <c:pt idx="11">
                  <c:v>12</c:v>
                </c:pt>
                <c:pt idx="12">
                  <c:v>8</c:v>
                </c:pt>
                <c:pt idx="13">
                  <c:v>15</c:v>
                </c:pt>
                <c:pt idx="14">
                  <c:v>14</c:v>
                </c:pt>
                <c:pt idx="15">
                  <c:v>8</c:v>
                </c:pt>
                <c:pt idx="16">
                  <c:v>7</c:v>
                </c:pt>
                <c:pt idx="17">
                  <c:v>0</c:v>
                </c:pt>
                <c:pt idx="18">
                  <c:v>0</c:v>
                </c:pt>
                <c:pt idx="19">
                  <c:v>8</c:v>
                </c:pt>
              </c:numCache>
            </c:numRef>
          </c:val>
          <c:smooth val="0"/>
          <c:extLst>
            <c:ext xmlns:c16="http://schemas.microsoft.com/office/drawing/2014/chart" uri="{C3380CC4-5D6E-409C-BE32-E72D297353CC}">
              <c16:uniqueId val="{00000001-B6DC-4C14-9350-18532F6F83A7}"/>
            </c:ext>
          </c:extLst>
        </c:ser>
        <c:ser>
          <c:idx val="2"/>
          <c:order val="2"/>
          <c:tx>
            <c:strRef>
              <c:f>'MAIN-Analisys'!$A$41:$A$41</c:f>
              <c:strCache>
                <c:ptCount val="1"/>
                <c:pt idx="0">
                  <c:v>Employment</c:v>
                </c:pt>
              </c:strCache>
            </c:strRef>
          </c:tx>
          <c:spPr>
            <a:ln w="34920">
              <a:solidFill>
                <a:srgbClr val="A5A5A5"/>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'MAIN-Analisys'!$B$58:$AA$58</c:f>
              <c:numCache>
                <c:formatCode>General</c:formatCode>
                <c:ptCount val="26"/>
                <c:pt idx="0">
                  <c:v>-7</c:v>
                </c:pt>
                <c:pt idx="1">
                  <c:v>-2</c:v>
                </c:pt>
                <c:pt idx="2">
                  <c:v>-7</c:v>
                </c:pt>
                <c:pt idx="3">
                  <c:v>-4</c:v>
                </c:pt>
                <c:pt idx="4">
                  <c:v>-4</c:v>
                </c:pt>
                <c:pt idx="5">
                  <c:v>0</c:v>
                </c:pt>
                <c:pt idx="6">
                  <c:v>6</c:v>
                </c:pt>
                <c:pt idx="7">
                  <c:v>5</c:v>
                </c:pt>
                <c:pt idx="8">
                  <c:v>0</c:v>
                </c:pt>
                <c:pt idx="9">
                  <c:v>0</c:v>
                </c:pt>
                <c:pt idx="10">
                  <c:v>9</c:v>
                </c:pt>
                <c:pt idx="11">
                  <c:v>0</c:v>
                </c:pt>
                <c:pt idx="12">
                  <c:v>0</c:v>
                </c:pt>
                <c:pt idx="13">
                  <c:v>5</c:v>
                </c:pt>
                <c:pt idx="14">
                  <c:v>5</c:v>
                </c:pt>
                <c:pt idx="15">
                  <c:v>0</c:v>
                </c:pt>
                <c:pt idx="16">
                  <c:v>0</c:v>
                </c:pt>
                <c:pt idx="17">
                  <c:v>0</c:v>
                </c:pt>
                <c:pt idx="18">
                  <c:v>-3</c:v>
                </c:pt>
                <c:pt idx="19">
                  <c:v>-2</c:v>
                </c:pt>
              </c:numCache>
            </c:numRef>
          </c:val>
          <c:smooth val="0"/>
          <c:extLst>
            <c:ext xmlns:c16="http://schemas.microsoft.com/office/drawing/2014/chart" uri="{C3380CC4-5D6E-409C-BE32-E72D297353CC}">
              <c16:uniqueId val="{00000002-B6DC-4C14-9350-18532F6F83A7}"/>
            </c:ext>
          </c:extLst>
        </c:ser>
        <c:ser>
          <c:idx val="3"/>
          <c:order val="3"/>
          <c:tx>
            <c:strRef>
              <c:f>'MAIN-Analisys'!$A$61:$A$61</c:f>
              <c:strCache>
                <c:ptCount val="1"/>
                <c:pt idx="0">
                  <c:v>Deliveries</c:v>
                </c:pt>
              </c:strCache>
            </c:strRef>
          </c:tx>
          <c:spPr>
            <a:ln w="34920">
              <a:solidFill>
                <a:srgbClr val="FFC000"/>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'MAIN-Analisys'!$B$78:$AA$78</c:f>
              <c:numCache>
                <c:formatCode>General</c:formatCode>
                <c:ptCount val="26"/>
                <c:pt idx="0">
                  <c:v>-11</c:v>
                </c:pt>
                <c:pt idx="1">
                  <c:v>1</c:v>
                </c:pt>
                <c:pt idx="2">
                  <c:v>-2</c:v>
                </c:pt>
                <c:pt idx="3">
                  <c:v>-7</c:v>
                </c:pt>
                <c:pt idx="4">
                  <c:v>-6</c:v>
                </c:pt>
                <c:pt idx="5">
                  <c:v>-8</c:v>
                </c:pt>
                <c:pt idx="6">
                  <c:v>-9</c:v>
                </c:pt>
                <c:pt idx="7">
                  <c:v>-4</c:v>
                </c:pt>
                <c:pt idx="8">
                  <c:v>-12</c:v>
                </c:pt>
                <c:pt idx="9">
                  <c:v>-9</c:v>
                </c:pt>
                <c:pt idx="10">
                  <c:v>-14</c:v>
                </c:pt>
                <c:pt idx="11">
                  <c:v>-13</c:v>
                </c:pt>
                <c:pt idx="12">
                  <c:v>11</c:v>
                </c:pt>
                <c:pt idx="13">
                  <c:v>-3</c:v>
                </c:pt>
                <c:pt idx="14">
                  <c:v>-8</c:v>
                </c:pt>
                <c:pt idx="15">
                  <c:v>-2</c:v>
                </c:pt>
                <c:pt idx="16">
                  <c:v>-13</c:v>
                </c:pt>
                <c:pt idx="17">
                  <c:v>-11</c:v>
                </c:pt>
                <c:pt idx="18">
                  <c:v>-2</c:v>
                </c:pt>
                <c:pt idx="19">
                  <c:v>-16</c:v>
                </c:pt>
              </c:numCache>
            </c:numRef>
          </c:val>
          <c:smooth val="0"/>
          <c:extLst>
            <c:ext xmlns:c16="http://schemas.microsoft.com/office/drawing/2014/chart" uri="{C3380CC4-5D6E-409C-BE32-E72D297353CC}">
              <c16:uniqueId val="{00000003-B6DC-4C14-9350-18532F6F83A7}"/>
            </c:ext>
          </c:extLst>
        </c:ser>
        <c:ser>
          <c:idx val="4"/>
          <c:order val="4"/>
          <c:tx>
            <c:strRef>
              <c:f>'MAIN-Analisys'!$A$81:$A$81</c:f>
              <c:strCache>
                <c:ptCount val="1"/>
                <c:pt idx="0">
                  <c:v>Inventory</c:v>
                </c:pt>
              </c:strCache>
            </c:strRef>
          </c:tx>
          <c:spPr>
            <a:ln w="34920">
              <a:solidFill>
                <a:srgbClr val="4472C4"/>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'MAIN-Analisys'!$B$98:$AA$98</c:f>
              <c:numCache>
                <c:formatCode>General</c:formatCode>
                <c:ptCount val="26"/>
                <c:pt idx="0">
                  <c:v>0</c:v>
                </c:pt>
                <c:pt idx="1">
                  <c:v>-2</c:v>
                </c:pt>
                <c:pt idx="2">
                  <c:v>-4</c:v>
                </c:pt>
                <c:pt idx="3">
                  <c:v>-5</c:v>
                </c:pt>
                <c:pt idx="4">
                  <c:v>-5</c:v>
                </c:pt>
                <c:pt idx="5">
                  <c:v>5</c:v>
                </c:pt>
                <c:pt idx="6">
                  <c:v>0</c:v>
                </c:pt>
                <c:pt idx="7">
                  <c:v>7</c:v>
                </c:pt>
                <c:pt idx="8">
                  <c:v>0</c:v>
                </c:pt>
                <c:pt idx="9">
                  <c:v>0</c:v>
                </c:pt>
                <c:pt idx="10">
                  <c:v>0</c:v>
                </c:pt>
                <c:pt idx="11">
                  <c:v>8</c:v>
                </c:pt>
                <c:pt idx="12">
                  <c:v>5</c:v>
                </c:pt>
                <c:pt idx="13">
                  <c:v>-3</c:v>
                </c:pt>
                <c:pt idx="14">
                  <c:v>0</c:v>
                </c:pt>
                <c:pt idx="15">
                  <c:v>0</c:v>
                </c:pt>
                <c:pt idx="16">
                  <c:v>0</c:v>
                </c:pt>
                <c:pt idx="17">
                  <c:v>-4</c:v>
                </c:pt>
                <c:pt idx="18">
                  <c:v>0</c:v>
                </c:pt>
                <c:pt idx="19">
                  <c:v>0</c:v>
                </c:pt>
              </c:numCache>
            </c:numRef>
          </c:val>
          <c:smooth val="0"/>
          <c:extLst>
            <c:ext xmlns:c16="http://schemas.microsoft.com/office/drawing/2014/chart" uri="{C3380CC4-5D6E-409C-BE32-E72D297353CC}">
              <c16:uniqueId val="{00000004-B6DC-4C14-9350-18532F6F83A7}"/>
            </c:ext>
          </c:extLst>
        </c:ser>
        <c:ser>
          <c:idx val="5"/>
          <c:order val="5"/>
          <c:tx>
            <c:strRef>
              <c:f>'MAIN-Analisys'!$A$101:$A$101</c:f>
              <c:strCache>
                <c:ptCount val="1"/>
                <c:pt idx="0">
                  <c:v>Prices</c:v>
                </c:pt>
              </c:strCache>
            </c:strRef>
          </c:tx>
          <c:spPr>
            <a:ln w="34920">
              <a:solidFill>
                <a:srgbClr val="70AD47"/>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'MAIN-Analisys'!$B$118:$AA$118</c:f>
              <c:numCache>
                <c:formatCode>General</c:formatCode>
                <c:ptCount val="26"/>
                <c:pt idx="0">
                  <c:v>-1</c:v>
                </c:pt>
                <c:pt idx="1">
                  <c:v>-2</c:v>
                </c:pt>
                <c:pt idx="2">
                  <c:v>0</c:v>
                </c:pt>
                <c:pt idx="3">
                  <c:v>0</c:v>
                </c:pt>
                <c:pt idx="4">
                  <c:v>2</c:v>
                </c:pt>
                <c:pt idx="5">
                  <c:v>3</c:v>
                </c:pt>
                <c:pt idx="6">
                  <c:v>4</c:v>
                </c:pt>
                <c:pt idx="7">
                  <c:v>8</c:v>
                </c:pt>
                <c:pt idx="8">
                  <c:v>4</c:v>
                </c:pt>
                <c:pt idx="9">
                  <c:v>6</c:v>
                </c:pt>
                <c:pt idx="10">
                  <c:v>4</c:v>
                </c:pt>
                <c:pt idx="11">
                  <c:v>8</c:v>
                </c:pt>
                <c:pt idx="12">
                  <c:v>8</c:v>
                </c:pt>
                <c:pt idx="13">
                  <c:v>13</c:v>
                </c:pt>
                <c:pt idx="14">
                  <c:v>13</c:v>
                </c:pt>
                <c:pt idx="15">
                  <c:v>1</c:v>
                </c:pt>
                <c:pt idx="16">
                  <c:v>15</c:v>
                </c:pt>
                <c:pt idx="17">
                  <c:v>1</c:v>
                </c:pt>
                <c:pt idx="18">
                  <c:v>5</c:v>
                </c:pt>
                <c:pt idx="19">
                  <c:v>6</c:v>
                </c:pt>
              </c:numCache>
            </c:numRef>
          </c:val>
          <c:smooth val="0"/>
          <c:extLst>
            <c:ext xmlns:c16="http://schemas.microsoft.com/office/drawing/2014/chart" uri="{C3380CC4-5D6E-409C-BE32-E72D297353CC}">
              <c16:uniqueId val="{00000005-B6DC-4C14-9350-18532F6F83A7}"/>
            </c:ext>
          </c:extLst>
        </c:ser>
        <c:ser>
          <c:idx val="6"/>
          <c:order val="6"/>
          <c:tx>
            <c:v>Business Activity</c:v>
          </c:tx>
          <c:spPr>
            <a:ln>
              <a:solidFill>
                <a:schemeClr val="bg1"/>
              </a:solidFill>
            </a:ln>
          </c:spPr>
          <c:marker>
            <c:symbol val="none"/>
          </c:marker>
          <c:val>
            <c:numRef>
              <c:f>'MAIN-Analisys'!$B$138:$U$138</c:f>
              <c:numCache>
                <c:formatCode>General</c:formatCode>
                <c:ptCount val="20"/>
                <c:pt idx="0">
                  <c:v>0</c:v>
                </c:pt>
                <c:pt idx="1">
                  <c:v>2</c:v>
                </c:pt>
                <c:pt idx="2">
                  <c:v>5</c:v>
                </c:pt>
                <c:pt idx="3">
                  <c:v>-2</c:v>
                </c:pt>
                <c:pt idx="4">
                  <c:v>-5</c:v>
                </c:pt>
                <c:pt idx="5">
                  <c:v>0</c:v>
                </c:pt>
                <c:pt idx="6">
                  <c:v>-1</c:v>
                </c:pt>
                <c:pt idx="7">
                  <c:v>-1</c:v>
                </c:pt>
                <c:pt idx="8">
                  <c:v>3</c:v>
                </c:pt>
                <c:pt idx="9">
                  <c:v>6</c:v>
                </c:pt>
                <c:pt idx="10">
                  <c:v>15</c:v>
                </c:pt>
                <c:pt idx="11">
                  <c:v>6</c:v>
                </c:pt>
                <c:pt idx="12">
                  <c:v>12</c:v>
                </c:pt>
                <c:pt idx="13">
                  <c:v>4</c:v>
                </c:pt>
                <c:pt idx="14">
                  <c:v>5</c:v>
                </c:pt>
                <c:pt idx="15">
                  <c:v>7</c:v>
                </c:pt>
                <c:pt idx="16">
                  <c:v>7</c:v>
                </c:pt>
                <c:pt idx="17">
                  <c:v>0</c:v>
                </c:pt>
                <c:pt idx="18">
                  <c:v>3</c:v>
                </c:pt>
                <c:pt idx="19">
                  <c:v>10</c:v>
                </c:pt>
              </c:numCache>
            </c:numRef>
          </c:val>
          <c:smooth val="0"/>
          <c:extLst>
            <c:ext xmlns:c16="http://schemas.microsoft.com/office/drawing/2014/chart" uri="{C3380CC4-5D6E-409C-BE32-E72D297353CC}">
              <c16:uniqueId val="{00000001-7D17-4311-B4F7-4E11019549DB}"/>
            </c:ext>
          </c:extLst>
        </c:ser>
        <c:dLbls>
          <c:showLegendKey val="0"/>
          <c:showVal val="0"/>
          <c:showCatName val="0"/>
          <c:showSerName val="0"/>
          <c:showPercent val="0"/>
          <c:showBubbleSize val="0"/>
        </c:dLbls>
        <c:hiLowLines>
          <c:spPr>
            <a:ln>
              <a:noFill/>
            </a:ln>
          </c:spPr>
        </c:hiLowLines>
        <c:marker val="1"/>
        <c:smooth val="0"/>
        <c:axId val="31522556"/>
        <c:axId val="78442887"/>
      </c:lineChart>
      <c:catAx>
        <c:axId val="31522556"/>
        <c:scaling>
          <c:orientation val="minMax"/>
        </c:scaling>
        <c:delete val="0"/>
        <c:axPos val="b"/>
        <c:numFmt formatCode="General" sourceLinked="1"/>
        <c:majorTickMark val="none"/>
        <c:minorTickMark val="none"/>
        <c:tickLblPos val="nextTo"/>
        <c:spPr>
          <a:ln w="12600">
            <a:solidFill>
              <a:srgbClr val="F2F2F2">
                <a:alpha val="54000"/>
              </a:srgbClr>
            </a:solidFill>
            <a:round/>
          </a:ln>
        </c:spPr>
        <c:txPr>
          <a:bodyPr/>
          <a:lstStyle/>
          <a:p>
            <a:pPr>
              <a:defRPr sz="900" b="0" strike="noStrike" spc="-1">
                <a:solidFill>
                  <a:srgbClr val="D9D9D9"/>
                </a:solidFill>
                <a:latin typeface="Calibri"/>
              </a:defRPr>
            </a:pPr>
            <a:endParaRPr lang="bg-BG"/>
          </a:p>
        </c:txPr>
        <c:crossAx val="78442887"/>
        <c:crosses val="autoZero"/>
        <c:auto val="1"/>
        <c:lblAlgn val="ctr"/>
        <c:lblOffset val="100"/>
        <c:noMultiLvlLbl val="1"/>
      </c:catAx>
      <c:valAx>
        <c:axId val="78442887"/>
        <c:scaling>
          <c:orientation val="minMax"/>
        </c:scaling>
        <c:delete val="0"/>
        <c:axPos val="l"/>
        <c:majorGridlines>
          <c:spPr>
            <a:ln w="9360">
              <a:solidFill>
                <a:srgbClr val="F2F2F2">
                  <a:alpha val="10000"/>
                </a:srgbClr>
              </a:solidFill>
              <a:round/>
            </a:ln>
          </c:spPr>
        </c:majorGridlines>
        <c:numFmt formatCode="General" sourceLinked="0"/>
        <c:majorTickMark val="none"/>
        <c:minorTickMark val="none"/>
        <c:tickLblPos val="nextTo"/>
        <c:spPr>
          <a:ln w="6480">
            <a:noFill/>
          </a:ln>
        </c:spPr>
        <c:txPr>
          <a:bodyPr/>
          <a:lstStyle/>
          <a:p>
            <a:pPr>
              <a:defRPr sz="900" b="0" strike="noStrike" spc="-1">
                <a:solidFill>
                  <a:srgbClr val="D9D9D9"/>
                </a:solidFill>
                <a:latin typeface="Calibri"/>
              </a:defRPr>
            </a:pPr>
            <a:endParaRPr lang="bg-BG"/>
          </a:p>
        </c:txPr>
        <c:crossAx val="31522556"/>
        <c:crosses val="autoZero"/>
        <c:crossBetween val="between"/>
      </c:valAx>
      <c:spPr>
        <a:noFill/>
        <a:ln>
          <a:noFill/>
        </a:ln>
      </c:spPr>
    </c:plotArea>
    <c:legend>
      <c:legendPos val="b"/>
      <c:overlay val="0"/>
      <c:spPr>
        <a:noFill/>
        <a:ln>
          <a:noFill/>
        </a:ln>
      </c:spPr>
      <c:txPr>
        <a:bodyPr/>
        <a:lstStyle/>
        <a:p>
          <a:pPr>
            <a:defRPr sz="900" b="0" strike="noStrike" spc="-1">
              <a:solidFill>
                <a:srgbClr val="D9D9D9"/>
              </a:solidFill>
              <a:latin typeface="Calibri"/>
            </a:defRPr>
          </a:pPr>
          <a:endParaRPr lang="bg-BG"/>
        </a:p>
      </c:txPr>
    </c:legend>
    <c:plotVisOnly val="1"/>
    <c:dispBlanksAs val="gap"/>
    <c:showDLblsOverMax val="1"/>
  </c:chart>
  <c:spPr>
    <a:gradFill>
      <a:gsLst>
        <a:gs pos="0">
          <a:srgbClr val="595959"/>
        </a:gs>
        <a:gs pos="100000">
          <a:srgbClr val="262626"/>
        </a:gs>
      </a:gsLst>
      <a:path path="circle"/>
    </a:gradFill>
    <a:ln>
      <a:noFill/>
    </a:ln>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600" b="1" strike="noStrike" spc="97">
                <a:solidFill>
                  <a:srgbClr val="F2F2F2"/>
                </a:solidFill>
                <a:latin typeface="Calibri"/>
              </a:defRPr>
            </a:pPr>
            <a:r>
              <a:rPr lang="en-US" sz="1600" b="1" strike="noStrike" spc="97">
                <a:solidFill>
                  <a:srgbClr val="F2F2F2"/>
                </a:solidFill>
                <a:latin typeface="Calibri"/>
              </a:rPr>
              <a:t>Real Estate, Rental &amp; Leasing</a:t>
            </a:r>
          </a:p>
        </c:rich>
      </c:tx>
      <c:overlay val="0"/>
      <c:spPr>
        <a:noFill/>
        <a:ln>
          <a:noFill/>
        </a:ln>
      </c:spPr>
    </c:title>
    <c:autoTitleDeleted val="0"/>
    <c:plotArea>
      <c:layout/>
      <c:barChart>
        <c:barDir val="col"/>
        <c:grouping val="clustered"/>
        <c:varyColors val="0"/>
        <c:ser>
          <c:idx val="0"/>
          <c:order val="0"/>
          <c:tx>
            <c:strRef>
              <c:f>'MAIN-Analisys'!$A$1:$A$1</c:f>
              <c:strCache>
                <c:ptCount val="1"/>
                <c:pt idx="0">
                  <c:v>Main Services PMI</c:v>
                </c:pt>
              </c:strCache>
            </c:strRef>
          </c:tx>
          <c:spPr>
            <a:gradFill>
              <a:gsLst>
                <a:gs pos="0">
                  <a:srgbClr val="71A6DA"/>
                </a:gs>
                <a:gs pos="100000">
                  <a:srgbClr val="549ADA"/>
                </a:gs>
              </a:gsLst>
              <a:lin ang="5400000"/>
            </a:gradFill>
            <a:ln>
              <a:noFill/>
            </a:ln>
          </c:spPr>
          <c:invertIfNegative val="0"/>
          <c:dLbls>
            <c:spPr>
              <a:noFill/>
              <a:ln>
                <a:noFill/>
              </a:ln>
              <a:effectLst/>
            </c:spPr>
            <c:txPr>
              <a:bodyPr/>
              <a:lstStyle/>
              <a:p>
                <a:pPr>
                  <a:defRPr sz="1000" b="0" strike="noStrike" spc="-1">
                    <a:solidFill>
                      <a:srgbClr val="000000"/>
                    </a:solidFill>
                    <a:latin typeface="Calibri"/>
                  </a:defRPr>
                </a:pPr>
                <a:endParaRPr lang="bg-BG"/>
              </a:p>
            </c:txPr>
            <c:dLblPos val="outEnd"/>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'MAIN-Analisys'!$B$19:$AA$19</c:f>
              <c:numCache>
                <c:formatCode>General</c:formatCode>
                <c:ptCount val="26"/>
                <c:pt idx="0">
                  <c:v>2</c:v>
                </c:pt>
                <c:pt idx="1">
                  <c:v>10</c:v>
                </c:pt>
                <c:pt idx="2">
                  <c:v>3</c:v>
                </c:pt>
                <c:pt idx="3">
                  <c:v>-2</c:v>
                </c:pt>
                <c:pt idx="4">
                  <c:v>-1</c:v>
                </c:pt>
                <c:pt idx="5">
                  <c:v>14</c:v>
                </c:pt>
                <c:pt idx="6">
                  <c:v>-1</c:v>
                </c:pt>
                <c:pt idx="7">
                  <c:v>11</c:v>
                </c:pt>
                <c:pt idx="8">
                  <c:v>13</c:v>
                </c:pt>
                <c:pt idx="9">
                  <c:v>13</c:v>
                </c:pt>
                <c:pt idx="10">
                  <c:v>-2</c:v>
                </c:pt>
                <c:pt idx="11">
                  <c:v>12</c:v>
                </c:pt>
                <c:pt idx="12">
                  <c:v>2</c:v>
                </c:pt>
                <c:pt idx="13">
                  <c:v>12</c:v>
                </c:pt>
                <c:pt idx="14">
                  <c:v>16</c:v>
                </c:pt>
                <c:pt idx="15">
                  <c:v>18</c:v>
                </c:pt>
                <c:pt idx="16">
                  <c:v>2</c:v>
                </c:pt>
                <c:pt idx="17">
                  <c:v>11</c:v>
                </c:pt>
                <c:pt idx="18">
                  <c:v>-4</c:v>
                </c:pt>
                <c:pt idx="19">
                  <c:v>10</c:v>
                </c:pt>
              </c:numCache>
            </c:numRef>
          </c:val>
          <c:extLst>
            <c:ext xmlns:c16="http://schemas.microsoft.com/office/drawing/2014/chart" uri="{C3380CC4-5D6E-409C-BE32-E72D297353CC}">
              <c16:uniqueId val="{00000000-3887-4B8C-BCBC-93336BD2BA99}"/>
            </c:ext>
          </c:extLst>
        </c:ser>
        <c:dLbls>
          <c:showLegendKey val="0"/>
          <c:showVal val="0"/>
          <c:showCatName val="0"/>
          <c:showSerName val="0"/>
          <c:showPercent val="0"/>
          <c:showBubbleSize val="0"/>
        </c:dLbls>
        <c:gapWidth val="219"/>
        <c:overlap val="-27"/>
        <c:axId val="61102856"/>
        <c:axId val="9599875"/>
      </c:barChart>
      <c:lineChart>
        <c:grouping val="standard"/>
        <c:varyColors val="0"/>
        <c:ser>
          <c:idx val="1"/>
          <c:order val="1"/>
          <c:tx>
            <c:strRef>
              <c:f>'MAIN-Analisys'!$A$21:$A$21</c:f>
              <c:strCache>
                <c:ptCount val="1"/>
                <c:pt idx="0">
                  <c:v>New orders</c:v>
                </c:pt>
              </c:strCache>
            </c:strRef>
          </c:tx>
          <c:spPr>
            <a:ln w="34920">
              <a:solidFill>
                <a:srgbClr val="ED7D31"/>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'MAIN-Analisys'!$B$39:$AA$39</c:f>
              <c:numCache>
                <c:formatCode>General</c:formatCode>
                <c:ptCount val="26"/>
                <c:pt idx="0">
                  <c:v>-3</c:v>
                </c:pt>
                <c:pt idx="1">
                  <c:v>13</c:v>
                </c:pt>
                <c:pt idx="2">
                  <c:v>0</c:v>
                </c:pt>
                <c:pt idx="3">
                  <c:v>0</c:v>
                </c:pt>
                <c:pt idx="4">
                  <c:v>-4</c:v>
                </c:pt>
                <c:pt idx="5">
                  <c:v>8</c:v>
                </c:pt>
                <c:pt idx="6">
                  <c:v>-2</c:v>
                </c:pt>
                <c:pt idx="7">
                  <c:v>5</c:v>
                </c:pt>
                <c:pt idx="8">
                  <c:v>10</c:v>
                </c:pt>
                <c:pt idx="9">
                  <c:v>4</c:v>
                </c:pt>
                <c:pt idx="10">
                  <c:v>0</c:v>
                </c:pt>
                <c:pt idx="11">
                  <c:v>13</c:v>
                </c:pt>
                <c:pt idx="12">
                  <c:v>-2</c:v>
                </c:pt>
                <c:pt idx="13">
                  <c:v>14</c:v>
                </c:pt>
                <c:pt idx="14">
                  <c:v>13</c:v>
                </c:pt>
                <c:pt idx="15">
                  <c:v>7</c:v>
                </c:pt>
                <c:pt idx="16">
                  <c:v>0</c:v>
                </c:pt>
                <c:pt idx="17">
                  <c:v>0</c:v>
                </c:pt>
                <c:pt idx="18">
                  <c:v>0</c:v>
                </c:pt>
                <c:pt idx="19">
                  <c:v>11</c:v>
                </c:pt>
              </c:numCache>
            </c:numRef>
          </c:val>
          <c:smooth val="0"/>
          <c:extLst>
            <c:ext xmlns:c16="http://schemas.microsoft.com/office/drawing/2014/chart" uri="{C3380CC4-5D6E-409C-BE32-E72D297353CC}">
              <c16:uniqueId val="{00000001-3887-4B8C-BCBC-93336BD2BA99}"/>
            </c:ext>
          </c:extLst>
        </c:ser>
        <c:ser>
          <c:idx val="2"/>
          <c:order val="2"/>
          <c:tx>
            <c:strRef>
              <c:f>'MAIN-Analisys'!$A$41:$A$41</c:f>
              <c:strCache>
                <c:ptCount val="1"/>
                <c:pt idx="0">
                  <c:v>Employment</c:v>
                </c:pt>
              </c:strCache>
            </c:strRef>
          </c:tx>
          <c:spPr>
            <a:ln w="34920">
              <a:solidFill>
                <a:srgbClr val="A5A5A5"/>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'MAIN-Analisys'!$B$59:$AA$59</c:f>
              <c:numCache>
                <c:formatCode>General</c:formatCode>
                <c:ptCount val="26"/>
                <c:pt idx="0">
                  <c:v>-5</c:v>
                </c:pt>
                <c:pt idx="1">
                  <c:v>0</c:v>
                </c:pt>
                <c:pt idx="2">
                  <c:v>0</c:v>
                </c:pt>
                <c:pt idx="3">
                  <c:v>0</c:v>
                </c:pt>
                <c:pt idx="4">
                  <c:v>-9</c:v>
                </c:pt>
                <c:pt idx="5">
                  <c:v>7</c:v>
                </c:pt>
                <c:pt idx="6">
                  <c:v>-5</c:v>
                </c:pt>
                <c:pt idx="7">
                  <c:v>0</c:v>
                </c:pt>
                <c:pt idx="8">
                  <c:v>10</c:v>
                </c:pt>
                <c:pt idx="9">
                  <c:v>9</c:v>
                </c:pt>
                <c:pt idx="10">
                  <c:v>-2</c:v>
                </c:pt>
                <c:pt idx="11">
                  <c:v>-1</c:v>
                </c:pt>
                <c:pt idx="12">
                  <c:v>7</c:v>
                </c:pt>
                <c:pt idx="13">
                  <c:v>0</c:v>
                </c:pt>
                <c:pt idx="14">
                  <c:v>0</c:v>
                </c:pt>
                <c:pt idx="15">
                  <c:v>7</c:v>
                </c:pt>
                <c:pt idx="16">
                  <c:v>0</c:v>
                </c:pt>
                <c:pt idx="17">
                  <c:v>4</c:v>
                </c:pt>
                <c:pt idx="18">
                  <c:v>-8</c:v>
                </c:pt>
                <c:pt idx="19">
                  <c:v>9</c:v>
                </c:pt>
              </c:numCache>
            </c:numRef>
          </c:val>
          <c:smooth val="0"/>
          <c:extLst>
            <c:ext xmlns:c16="http://schemas.microsoft.com/office/drawing/2014/chart" uri="{C3380CC4-5D6E-409C-BE32-E72D297353CC}">
              <c16:uniqueId val="{00000002-3887-4B8C-BCBC-93336BD2BA99}"/>
            </c:ext>
          </c:extLst>
        </c:ser>
        <c:ser>
          <c:idx val="3"/>
          <c:order val="3"/>
          <c:tx>
            <c:strRef>
              <c:f>'MAIN-Analisys'!$A$61:$A$61</c:f>
              <c:strCache>
                <c:ptCount val="1"/>
                <c:pt idx="0">
                  <c:v>Deliveries</c:v>
                </c:pt>
              </c:strCache>
            </c:strRef>
          </c:tx>
          <c:spPr>
            <a:ln w="34920">
              <a:solidFill>
                <a:srgbClr val="FFC000"/>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'MAIN-Analisys'!$B$79:$AA$79</c:f>
              <c:numCache>
                <c:formatCode>General</c:formatCode>
                <c:ptCount val="26"/>
                <c:pt idx="0">
                  <c:v>-9</c:v>
                </c:pt>
                <c:pt idx="1">
                  <c:v>2</c:v>
                </c:pt>
                <c:pt idx="2">
                  <c:v>0</c:v>
                </c:pt>
                <c:pt idx="3">
                  <c:v>0</c:v>
                </c:pt>
                <c:pt idx="4">
                  <c:v>-16</c:v>
                </c:pt>
                <c:pt idx="5">
                  <c:v>0</c:v>
                </c:pt>
                <c:pt idx="6">
                  <c:v>-12</c:v>
                </c:pt>
                <c:pt idx="7">
                  <c:v>-9</c:v>
                </c:pt>
                <c:pt idx="8">
                  <c:v>-11</c:v>
                </c:pt>
                <c:pt idx="9">
                  <c:v>-11</c:v>
                </c:pt>
                <c:pt idx="10">
                  <c:v>-13</c:v>
                </c:pt>
                <c:pt idx="11">
                  <c:v>-17</c:v>
                </c:pt>
                <c:pt idx="12">
                  <c:v>15</c:v>
                </c:pt>
                <c:pt idx="13">
                  <c:v>-4</c:v>
                </c:pt>
                <c:pt idx="14">
                  <c:v>-17</c:v>
                </c:pt>
                <c:pt idx="15">
                  <c:v>-17</c:v>
                </c:pt>
                <c:pt idx="16">
                  <c:v>0</c:v>
                </c:pt>
                <c:pt idx="17">
                  <c:v>-17</c:v>
                </c:pt>
                <c:pt idx="18">
                  <c:v>-16</c:v>
                </c:pt>
                <c:pt idx="19">
                  <c:v>-10</c:v>
                </c:pt>
              </c:numCache>
            </c:numRef>
          </c:val>
          <c:smooth val="0"/>
          <c:extLst>
            <c:ext xmlns:c16="http://schemas.microsoft.com/office/drawing/2014/chart" uri="{C3380CC4-5D6E-409C-BE32-E72D297353CC}">
              <c16:uniqueId val="{00000003-3887-4B8C-BCBC-93336BD2BA99}"/>
            </c:ext>
          </c:extLst>
        </c:ser>
        <c:ser>
          <c:idx val="4"/>
          <c:order val="4"/>
          <c:tx>
            <c:strRef>
              <c:f>'MAIN-Analisys'!$A$81:$A$81</c:f>
              <c:strCache>
                <c:ptCount val="1"/>
                <c:pt idx="0">
                  <c:v>Inventory</c:v>
                </c:pt>
              </c:strCache>
            </c:strRef>
          </c:tx>
          <c:spPr>
            <a:ln w="34920">
              <a:solidFill>
                <a:srgbClr val="4472C4"/>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'MAIN-Analisys'!$B$99:$AA$99</c:f>
              <c:numCache>
                <c:formatCode>General</c:formatCode>
                <c:ptCount val="26"/>
                <c:pt idx="0">
                  <c:v>-4</c:v>
                </c:pt>
                <c:pt idx="1">
                  <c:v>-6</c:v>
                </c:pt>
                <c:pt idx="2">
                  <c:v>0</c:v>
                </c:pt>
                <c:pt idx="3">
                  <c:v>-3</c:v>
                </c:pt>
                <c:pt idx="4">
                  <c:v>7</c:v>
                </c:pt>
                <c:pt idx="5">
                  <c:v>-4</c:v>
                </c:pt>
                <c:pt idx="6">
                  <c:v>6</c:v>
                </c:pt>
                <c:pt idx="7">
                  <c:v>0</c:v>
                </c:pt>
                <c:pt idx="8">
                  <c:v>-5</c:v>
                </c:pt>
                <c:pt idx="9">
                  <c:v>0</c:v>
                </c:pt>
                <c:pt idx="10">
                  <c:v>0</c:v>
                </c:pt>
                <c:pt idx="11">
                  <c:v>-1</c:v>
                </c:pt>
                <c:pt idx="12">
                  <c:v>-8</c:v>
                </c:pt>
                <c:pt idx="13">
                  <c:v>-5</c:v>
                </c:pt>
                <c:pt idx="14">
                  <c:v>-6</c:v>
                </c:pt>
                <c:pt idx="15">
                  <c:v>-9</c:v>
                </c:pt>
                <c:pt idx="16">
                  <c:v>-6</c:v>
                </c:pt>
                <c:pt idx="17">
                  <c:v>0</c:v>
                </c:pt>
                <c:pt idx="18">
                  <c:v>0</c:v>
                </c:pt>
                <c:pt idx="19">
                  <c:v>0</c:v>
                </c:pt>
              </c:numCache>
            </c:numRef>
          </c:val>
          <c:smooth val="0"/>
          <c:extLst>
            <c:ext xmlns:c16="http://schemas.microsoft.com/office/drawing/2014/chart" uri="{C3380CC4-5D6E-409C-BE32-E72D297353CC}">
              <c16:uniqueId val="{00000004-3887-4B8C-BCBC-93336BD2BA99}"/>
            </c:ext>
          </c:extLst>
        </c:ser>
        <c:ser>
          <c:idx val="5"/>
          <c:order val="5"/>
          <c:tx>
            <c:strRef>
              <c:f>'MAIN-Analisys'!$A$101:$A$101</c:f>
              <c:strCache>
                <c:ptCount val="1"/>
                <c:pt idx="0">
                  <c:v>Prices</c:v>
                </c:pt>
              </c:strCache>
            </c:strRef>
          </c:tx>
          <c:spPr>
            <a:ln w="34920">
              <a:solidFill>
                <a:srgbClr val="70AD47"/>
              </a:solidFill>
              <a:round/>
            </a:ln>
          </c:spPr>
          <c:marker>
            <c:symbol val="none"/>
          </c:marker>
          <c:dLbls>
            <c:spPr>
              <a:noFill/>
              <a:ln>
                <a:noFill/>
              </a:ln>
              <a:effectLst/>
            </c:spPr>
            <c:txPr>
              <a:bodyPr/>
              <a:lstStyle/>
              <a:p>
                <a:pPr>
                  <a:defRPr sz="1000" b="0" strike="noStrike" spc="-1">
                    <a:solidFill>
                      <a:srgbClr val="000000"/>
                    </a:solidFill>
                    <a:latin typeface="Calibri"/>
                  </a:defRPr>
                </a:pPr>
                <a:endParaRPr lang="bg-BG"/>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'MAIN-Analisys'!$B$1:$AA$1</c:f>
              <c:strCache>
                <c:ptCount val="20"/>
                <c:pt idx="0">
                  <c:v>August 2020</c:v>
                </c:pt>
                <c:pt idx="1">
                  <c:v>September 2020</c:v>
                </c:pt>
                <c:pt idx="2">
                  <c:v>October 2020</c:v>
                </c:pt>
                <c:pt idx="3">
                  <c:v>November 2020</c:v>
                </c:pt>
                <c:pt idx="4">
                  <c:v>December 2020</c:v>
                </c:pt>
                <c:pt idx="5">
                  <c:v>яну.21</c:v>
                </c:pt>
                <c:pt idx="6">
                  <c:v>21.фев</c:v>
                </c:pt>
                <c:pt idx="7">
                  <c:v>21.мар</c:v>
                </c:pt>
                <c:pt idx="8">
                  <c:v>21.апр</c:v>
                </c:pt>
                <c:pt idx="9">
                  <c:v>21.май</c:v>
                </c:pt>
                <c:pt idx="10">
                  <c:v>21.юни</c:v>
                </c:pt>
                <c:pt idx="11">
                  <c:v>21.юли</c:v>
                </c:pt>
                <c:pt idx="12">
                  <c:v>21.авг</c:v>
                </c:pt>
                <c:pt idx="13">
                  <c:v>21.сеп</c:v>
                </c:pt>
                <c:pt idx="14">
                  <c:v>21.окт</c:v>
                </c:pt>
                <c:pt idx="15">
                  <c:v>21.ное</c:v>
                </c:pt>
                <c:pt idx="16">
                  <c:v>21.дек</c:v>
                </c:pt>
                <c:pt idx="17">
                  <c:v>January 2022</c:v>
                </c:pt>
                <c:pt idx="18">
                  <c:v>February 2022</c:v>
                </c:pt>
                <c:pt idx="19">
                  <c:v>March 2022</c:v>
                </c:pt>
              </c:strCache>
            </c:strRef>
          </c:cat>
          <c:val>
            <c:numRef>
              <c:f>'MAIN-Analisys'!$B$119:$AA$119</c:f>
              <c:numCache>
                <c:formatCode>General</c:formatCode>
                <c:ptCount val="26"/>
                <c:pt idx="0">
                  <c:v>13</c:v>
                </c:pt>
                <c:pt idx="1">
                  <c:v>8</c:v>
                </c:pt>
                <c:pt idx="2">
                  <c:v>10</c:v>
                </c:pt>
                <c:pt idx="3">
                  <c:v>14</c:v>
                </c:pt>
                <c:pt idx="4">
                  <c:v>5</c:v>
                </c:pt>
                <c:pt idx="5">
                  <c:v>0</c:v>
                </c:pt>
                <c:pt idx="6">
                  <c:v>13</c:v>
                </c:pt>
                <c:pt idx="7">
                  <c:v>14</c:v>
                </c:pt>
                <c:pt idx="8">
                  <c:v>15</c:v>
                </c:pt>
                <c:pt idx="9">
                  <c:v>18</c:v>
                </c:pt>
                <c:pt idx="10">
                  <c:v>16</c:v>
                </c:pt>
                <c:pt idx="11">
                  <c:v>16</c:v>
                </c:pt>
                <c:pt idx="12">
                  <c:v>2</c:v>
                </c:pt>
                <c:pt idx="13">
                  <c:v>16</c:v>
                </c:pt>
                <c:pt idx="14">
                  <c:v>17</c:v>
                </c:pt>
                <c:pt idx="15">
                  <c:v>10</c:v>
                </c:pt>
                <c:pt idx="16">
                  <c:v>6</c:v>
                </c:pt>
                <c:pt idx="17">
                  <c:v>3</c:v>
                </c:pt>
                <c:pt idx="18">
                  <c:v>6</c:v>
                </c:pt>
                <c:pt idx="19">
                  <c:v>12</c:v>
                </c:pt>
              </c:numCache>
            </c:numRef>
          </c:val>
          <c:smooth val="0"/>
          <c:extLst>
            <c:ext xmlns:c16="http://schemas.microsoft.com/office/drawing/2014/chart" uri="{C3380CC4-5D6E-409C-BE32-E72D297353CC}">
              <c16:uniqueId val="{00000005-3887-4B8C-BCBC-93336BD2BA99}"/>
            </c:ext>
          </c:extLst>
        </c:ser>
        <c:ser>
          <c:idx val="6"/>
          <c:order val="6"/>
          <c:tx>
            <c:v>Business Activity</c:v>
          </c:tx>
          <c:spPr>
            <a:ln>
              <a:solidFill>
                <a:schemeClr val="bg1"/>
              </a:solidFill>
            </a:ln>
          </c:spPr>
          <c:marker>
            <c:symbol val="none"/>
          </c:marker>
          <c:val>
            <c:numRef>
              <c:f>'MAIN-Analisys'!$B$139:$U$139</c:f>
              <c:numCache>
                <c:formatCode>General</c:formatCode>
                <c:ptCount val="20"/>
                <c:pt idx="0">
                  <c:v>10</c:v>
                </c:pt>
                <c:pt idx="1">
                  <c:v>15</c:v>
                </c:pt>
                <c:pt idx="2">
                  <c:v>13</c:v>
                </c:pt>
                <c:pt idx="3">
                  <c:v>-3</c:v>
                </c:pt>
                <c:pt idx="4">
                  <c:v>-3</c:v>
                </c:pt>
                <c:pt idx="5">
                  <c:v>8</c:v>
                </c:pt>
                <c:pt idx="6">
                  <c:v>-3</c:v>
                </c:pt>
                <c:pt idx="7">
                  <c:v>11</c:v>
                </c:pt>
                <c:pt idx="8">
                  <c:v>1</c:v>
                </c:pt>
                <c:pt idx="9">
                  <c:v>12</c:v>
                </c:pt>
                <c:pt idx="10">
                  <c:v>-2</c:v>
                </c:pt>
                <c:pt idx="11">
                  <c:v>13</c:v>
                </c:pt>
                <c:pt idx="12">
                  <c:v>-1</c:v>
                </c:pt>
                <c:pt idx="13">
                  <c:v>14</c:v>
                </c:pt>
                <c:pt idx="14">
                  <c:v>17</c:v>
                </c:pt>
                <c:pt idx="15">
                  <c:v>14</c:v>
                </c:pt>
                <c:pt idx="16">
                  <c:v>5</c:v>
                </c:pt>
                <c:pt idx="17">
                  <c:v>-2</c:v>
                </c:pt>
                <c:pt idx="18">
                  <c:v>-4</c:v>
                </c:pt>
                <c:pt idx="19">
                  <c:v>0</c:v>
                </c:pt>
              </c:numCache>
            </c:numRef>
          </c:val>
          <c:smooth val="0"/>
          <c:extLst>
            <c:ext xmlns:c16="http://schemas.microsoft.com/office/drawing/2014/chart" uri="{C3380CC4-5D6E-409C-BE32-E72D297353CC}">
              <c16:uniqueId val="{00000001-3127-42AF-A1CD-DABF2406C2E5}"/>
            </c:ext>
          </c:extLst>
        </c:ser>
        <c:dLbls>
          <c:showLegendKey val="0"/>
          <c:showVal val="0"/>
          <c:showCatName val="0"/>
          <c:showSerName val="0"/>
          <c:showPercent val="0"/>
          <c:showBubbleSize val="0"/>
        </c:dLbls>
        <c:hiLowLines>
          <c:spPr>
            <a:ln>
              <a:noFill/>
            </a:ln>
          </c:spPr>
        </c:hiLowLines>
        <c:marker val="1"/>
        <c:smooth val="0"/>
        <c:axId val="61102856"/>
        <c:axId val="9599875"/>
      </c:lineChart>
      <c:catAx>
        <c:axId val="61102856"/>
        <c:scaling>
          <c:orientation val="minMax"/>
        </c:scaling>
        <c:delete val="0"/>
        <c:axPos val="b"/>
        <c:numFmt formatCode="General" sourceLinked="1"/>
        <c:majorTickMark val="none"/>
        <c:minorTickMark val="none"/>
        <c:tickLblPos val="nextTo"/>
        <c:spPr>
          <a:ln w="12600">
            <a:solidFill>
              <a:srgbClr val="F2F2F2">
                <a:alpha val="54000"/>
              </a:srgbClr>
            </a:solidFill>
            <a:round/>
          </a:ln>
        </c:spPr>
        <c:txPr>
          <a:bodyPr/>
          <a:lstStyle/>
          <a:p>
            <a:pPr>
              <a:defRPr sz="900" b="0" strike="noStrike" spc="-1">
                <a:solidFill>
                  <a:srgbClr val="D9D9D9"/>
                </a:solidFill>
                <a:latin typeface="Calibri"/>
              </a:defRPr>
            </a:pPr>
            <a:endParaRPr lang="bg-BG"/>
          </a:p>
        </c:txPr>
        <c:crossAx val="9599875"/>
        <c:crosses val="autoZero"/>
        <c:auto val="1"/>
        <c:lblAlgn val="ctr"/>
        <c:lblOffset val="100"/>
        <c:noMultiLvlLbl val="1"/>
      </c:catAx>
      <c:valAx>
        <c:axId val="9599875"/>
        <c:scaling>
          <c:orientation val="minMax"/>
        </c:scaling>
        <c:delete val="0"/>
        <c:axPos val="l"/>
        <c:majorGridlines>
          <c:spPr>
            <a:ln w="9360">
              <a:solidFill>
                <a:srgbClr val="F2F2F2">
                  <a:alpha val="10000"/>
                </a:srgbClr>
              </a:solidFill>
              <a:round/>
            </a:ln>
          </c:spPr>
        </c:majorGridlines>
        <c:numFmt formatCode="General" sourceLinked="0"/>
        <c:majorTickMark val="none"/>
        <c:minorTickMark val="none"/>
        <c:tickLblPos val="nextTo"/>
        <c:spPr>
          <a:ln w="6480">
            <a:noFill/>
          </a:ln>
        </c:spPr>
        <c:txPr>
          <a:bodyPr/>
          <a:lstStyle/>
          <a:p>
            <a:pPr>
              <a:defRPr sz="900" b="0" strike="noStrike" spc="-1">
                <a:solidFill>
                  <a:srgbClr val="D9D9D9"/>
                </a:solidFill>
                <a:latin typeface="Calibri"/>
              </a:defRPr>
            </a:pPr>
            <a:endParaRPr lang="bg-BG"/>
          </a:p>
        </c:txPr>
        <c:crossAx val="61102856"/>
        <c:crosses val="autoZero"/>
        <c:crossBetween val="between"/>
      </c:valAx>
      <c:spPr>
        <a:noFill/>
        <a:ln>
          <a:noFill/>
        </a:ln>
      </c:spPr>
    </c:plotArea>
    <c:legend>
      <c:legendPos val="b"/>
      <c:overlay val="0"/>
      <c:spPr>
        <a:noFill/>
        <a:ln>
          <a:noFill/>
        </a:ln>
      </c:spPr>
      <c:txPr>
        <a:bodyPr/>
        <a:lstStyle/>
        <a:p>
          <a:pPr>
            <a:defRPr sz="900" b="0" strike="noStrike" spc="-1">
              <a:solidFill>
                <a:srgbClr val="D9D9D9"/>
              </a:solidFill>
              <a:latin typeface="Calibri"/>
            </a:defRPr>
          </a:pPr>
          <a:endParaRPr lang="bg-BG"/>
        </a:p>
      </c:txPr>
    </c:legend>
    <c:plotVisOnly val="1"/>
    <c:dispBlanksAs val="gap"/>
    <c:showDLblsOverMax val="1"/>
  </c:chart>
  <c:spPr>
    <a:gradFill>
      <a:gsLst>
        <a:gs pos="0">
          <a:srgbClr val="595959"/>
        </a:gs>
        <a:gs pos="100000">
          <a:srgbClr val="262626"/>
        </a:gs>
      </a:gsLst>
      <a:path path="circle"/>
    </a:gradFill>
    <a:ln>
      <a:noFill/>
    </a:ln>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600" b="1" strike="noStrike" spc="97">
                <a:solidFill>
                  <a:srgbClr val="F2F2F2"/>
                </a:solidFill>
                <a:latin typeface="Calibri"/>
              </a:defRPr>
            </a:pPr>
            <a:r>
              <a:rPr lang="en-US" sz="1600" b="1" strike="noStrike" spc="97">
                <a:solidFill>
                  <a:srgbClr val="F2F2F2"/>
                </a:solidFill>
                <a:latin typeface="Calibri"/>
              </a:rPr>
              <a:t>US Services Sector</a:t>
            </a:r>
          </a:p>
        </c:rich>
      </c:tx>
      <c:overlay val="0"/>
      <c:spPr>
        <a:noFill/>
        <a:ln>
          <a:noFill/>
        </a:ln>
      </c:spPr>
    </c:title>
    <c:autoTitleDeleted val="0"/>
    <c:plotArea>
      <c:layout/>
      <c:barChart>
        <c:barDir val="col"/>
        <c:grouping val="clustered"/>
        <c:varyColors val="0"/>
        <c:ser>
          <c:idx val="0"/>
          <c:order val="0"/>
          <c:spPr>
            <a:gradFill>
              <a:gsLst>
                <a:gs pos="0">
                  <a:srgbClr val="71A6DA"/>
                </a:gs>
                <a:gs pos="100000">
                  <a:srgbClr val="549ADA"/>
                </a:gs>
              </a:gsLst>
              <a:lin ang="5400000"/>
            </a:gradFill>
            <a:ln>
              <a:noFill/>
            </a:ln>
          </c:spPr>
          <c:invertIfNegative val="0"/>
          <c:dLbls>
            <c:spPr>
              <a:noFill/>
              <a:ln>
                <a:noFill/>
              </a:ln>
              <a:effectLst/>
            </c:spPr>
            <c:txPr>
              <a:bodyPr/>
              <a:lstStyle/>
              <a:p>
                <a:pPr>
                  <a:defRPr sz="1000" b="0" strike="noStrike" spc="-1">
                    <a:solidFill>
                      <a:srgbClr val="000000"/>
                    </a:solidFill>
                    <a:latin typeface="Calibri"/>
                  </a:defRPr>
                </a:pPr>
                <a:endParaRPr lang="bg-BG"/>
              </a:p>
            </c:txPr>
            <c:dLblPos val="outEnd"/>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trendline>
            <c:spPr>
              <a:ln w="19080">
                <a:solidFill>
                  <a:srgbClr val="FFFF00"/>
                </a:solidFill>
                <a:round/>
              </a:ln>
            </c:spPr>
            <c:trendlineType val="linear"/>
            <c:dispRSqr val="0"/>
            <c:dispEq val="0"/>
          </c:trendline>
          <c:cat>
            <c:strRef>
              <c:f>'MAIN-Analisys'!$A$141:$GA$141</c:f>
              <c:strCache>
                <c:ptCount val="183"/>
                <c:pt idx="0">
                  <c:v>MAIN NMI</c:v>
                </c:pt>
                <c:pt idx="1">
                  <c:v>01.11.2006</c:v>
                </c:pt>
                <c:pt idx="2">
                  <c:v>01.12.2006</c:v>
                </c:pt>
                <c:pt idx="3">
                  <c:v>01.1.2007</c:v>
                </c:pt>
                <c:pt idx="4">
                  <c:v>01.2.2007</c:v>
                </c:pt>
                <c:pt idx="5">
                  <c:v>01.3.2007</c:v>
                </c:pt>
                <c:pt idx="6">
                  <c:v>01.4.2007</c:v>
                </c:pt>
                <c:pt idx="7">
                  <c:v>01.5.2007</c:v>
                </c:pt>
                <c:pt idx="8">
                  <c:v>01.6.2007</c:v>
                </c:pt>
                <c:pt idx="9">
                  <c:v>01.7.2007</c:v>
                </c:pt>
                <c:pt idx="10">
                  <c:v>01.8.2007</c:v>
                </c:pt>
                <c:pt idx="11">
                  <c:v>01.9.2007</c:v>
                </c:pt>
                <c:pt idx="12">
                  <c:v>01.10.2007</c:v>
                </c:pt>
                <c:pt idx="13">
                  <c:v>01.11.2007</c:v>
                </c:pt>
                <c:pt idx="14">
                  <c:v>01.12.2007</c:v>
                </c:pt>
                <c:pt idx="15">
                  <c:v>01.1.2008</c:v>
                </c:pt>
                <c:pt idx="16">
                  <c:v>01.2.2008</c:v>
                </c:pt>
                <c:pt idx="17">
                  <c:v>01.3.2008</c:v>
                </c:pt>
                <c:pt idx="18">
                  <c:v>01.4.2008</c:v>
                </c:pt>
                <c:pt idx="19">
                  <c:v>01.5.2008</c:v>
                </c:pt>
                <c:pt idx="20">
                  <c:v>01.6.2008</c:v>
                </c:pt>
                <c:pt idx="21">
                  <c:v>01.7.2008</c:v>
                </c:pt>
                <c:pt idx="22">
                  <c:v>01.8.2008</c:v>
                </c:pt>
                <c:pt idx="23">
                  <c:v>01.9.2008</c:v>
                </c:pt>
                <c:pt idx="24">
                  <c:v>01.10.2008</c:v>
                </c:pt>
                <c:pt idx="25">
                  <c:v>01.11.2008</c:v>
                </c:pt>
                <c:pt idx="26">
                  <c:v>01.12.2008</c:v>
                </c:pt>
                <c:pt idx="27">
                  <c:v>01.1.2009</c:v>
                </c:pt>
                <c:pt idx="28">
                  <c:v>01.2.2009</c:v>
                </c:pt>
                <c:pt idx="29">
                  <c:v>01.3.2009</c:v>
                </c:pt>
                <c:pt idx="30">
                  <c:v>01.4.2009</c:v>
                </c:pt>
                <c:pt idx="31">
                  <c:v>01.5.2009</c:v>
                </c:pt>
                <c:pt idx="32">
                  <c:v>01.6.2009</c:v>
                </c:pt>
                <c:pt idx="33">
                  <c:v>01.7.2009</c:v>
                </c:pt>
                <c:pt idx="34">
                  <c:v>01.8.2009</c:v>
                </c:pt>
                <c:pt idx="35">
                  <c:v>01.9.2009</c:v>
                </c:pt>
                <c:pt idx="36">
                  <c:v>01.10.2009</c:v>
                </c:pt>
                <c:pt idx="37">
                  <c:v>01.11.2009</c:v>
                </c:pt>
                <c:pt idx="38">
                  <c:v>01.12.2009</c:v>
                </c:pt>
                <c:pt idx="39">
                  <c:v>01.1.2010</c:v>
                </c:pt>
                <c:pt idx="40">
                  <c:v>01.2.2010</c:v>
                </c:pt>
                <c:pt idx="41">
                  <c:v>01.3.2010</c:v>
                </c:pt>
                <c:pt idx="42">
                  <c:v>01.4.2010</c:v>
                </c:pt>
                <c:pt idx="43">
                  <c:v>01.5.2010</c:v>
                </c:pt>
                <c:pt idx="44">
                  <c:v>01.6.2010</c:v>
                </c:pt>
                <c:pt idx="45">
                  <c:v>01.7.2010</c:v>
                </c:pt>
                <c:pt idx="46">
                  <c:v>01.8.2010</c:v>
                </c:pt>
                <c:pt idx="47">
                  <c:v>01.9.2010</c:v>
                </c:pt>
                <c:pt idx="48">
                  <c:v>01.10.2010</c:v>
                </c:pt>
                <c:pt idx="49">
                  <c:v>01.11.2010</c:v>
                </c:pt>
                <c:pt idx="50">
                  <c:v>01.12.2010</c:v>
                </c:pt>
                <c:pt idx="51">
                  <c:v>01.1.2011</c:v>
                </c:pt>
                <c:pt idx="52">
                  <c:v>01.2.2011</c:v>
                </c:pt>
                <c:pt idx="53">
                  <c:v>01.3.2011</c:v>
                </c:pt>
                <c:pt idx="54">
                  <c:v>01.4.2011</c:v>
                </c:pt>
                <c:pt idx="55">
                  <c:v>01.5.2011</c:v>
                </c:pt>
                <c:pt idx="56">
                  <c:v>01.6.2011</c:v>
                </c:pt>
                <c:pt idx="57">
                  <c:v>01.7.2011</c:v>
                </c:pt>
                <c:pt idx="58">
                  <c:v>01.8.2011</c:v>
                </c:pt>
                <c:pt idx="59">
                  <c:v>01.9.2011</c:v>
                </c:pt>
                <c:pt idx="60">
                  <c:v>01.10.2011</c:v>
                </c:pt>
                <c:pt idx="61">
                  <c:v>01.11.2011</c:v>
                </c:pt>
                <c:pt idx="62">
                  <c:v>01.12.2011</c:v>
                </c:pt>
                <c:pt idx="63">
                  <c:v>01.1.2012</c:v>
                </c:pt>
                <c:pt idx="64">
                  <c:v>01.2.2012</c:v>
                </c:pt>
                <c:pt idx="65">
                  <c:v>01.3.2012</c:v>
                </c:pt>
                <c:pt idx="66">
                  <c:v>01.4.2012</c:v>
                </c:pt>
                <c:pt idx="67">
                  <c:v>01.5.2012</c:v>
                </c:pt>
                <c:pt idx="68">
                  <c:v>01.6.2012</c:v>
                </c:pt>
                <c:pt idx="69">
                  <c:v>01.7.2012</c:v>
                </c:pt>
                <c:pt idx="70">
                  <c:v>01.8.2012</c:v>
                </c:pt>
                <c:pt idx="71">
                  <c:v>01.9.2012</c:v>
                </c:pt>
                <c:pt idx="72">
                  <c:v>01.10.2012</c:v>
                </c:pt>
                <c:pt idx="73">
                  <c:v>01.11.2012</c:v>
                </c:pt>
                <c:pt idx="74">
                  <c:v>01.12.2012</c:v>
                </c:pt>
                <c:pt idx="75">
                  <c:v>01.1.2013</c:v>
                </c:pt>
                <c:pt idx="76">
                  <c:v>01.2.2013</c:v>
                </c:pt>
                <c:pt idx="77">
                  <c:v>01.3.2013</c:v>
                </c:pt>
                <c:pt idx="78">
                  <c:v>01.4.2013</c:v>
                </c:pt>
                <c:pt idx="79">
                  <c:v>01.5.2013</c:v>
                </c:pt>
                <c:pt idx="80">
                  <c:v>01.6.2013</c:v>
                </c:pt>
                <c:pt idx="81">
                  <c:v>01.7.2013</c:v>
                </c:pt>
                <c:pt idx="82">
                  <c:v>01.8.2013</c:v>
                </c:pt>
                <c:pt idx="83">
                  <c:v>01.9.2013</c:v>
                </c:pt>
                <c:pt idx="84">
                  <c:v>01.10.2013</c:v>
                </c:pt>
                <c:pt idx="85">
                  <c:v>01.11.2013</c:v>
                </c:pt>
                <c:pt idx="86">
                  <c:v>01.12.2013</c:v>
                </c:pt>
                <c:pt idx="87">
                  <c:v>01.1.2014</c:v>
                </c:pt>
                <c:pt idx="88">
                  <c:v>01.2.2014</c:v>
                </c:pt>
                <c:pt idx="89">
                  <c:v>01.3.2014</c:v>
                </c:pt>
                <c:pt idx="90">
                  <c:v>01.4.2014</c:v>
                </c:pt>
                <c:pt idx="91">
                  <c:v>01.5.2014</c:v>
                </c:pt>
                <c:pt idx="92">
                  <c:v>01.6.2014</c:v>
                </c:pt>
                <c:pt idx="93">
                  <c:v>01.7.2014</c:v>
                </c:pt>
                <c:pt idx="94">
                  <c:v>01.8.2014</c:v>
                </c:pt>
                <c:pt idx="95">
                  <c:v>01.9.2014</c:v>
                </c:pt>
                <c:pt idx="96">
                  <c:v>01.10.2014</c:v>
                </c:pt>
                <c:pt idx="97">
                  <c:v>01.11.2014</c:v>
                </c:pt>
                <c:pt idx="98">
                  <c:v>01.12.2014</c:v>
                </c:pt>
                <c:pt idx="99">
                  <c:v>01.1.2015</c:v>
                </c:pt>
                <c:pt idx="100">
                  <c:v>01.2.2015</c:v>
                </c:pt>
                <c:pt idx="101">
                  <c:v>01.3.2015</c:v>
                </c:pt>
                <c:pt idx="102">
                  <c:v>01.4.2015</c:v>
                </c:pt>
                <c:pt idx="103">
                  <c:v>01.5.2015</c:v>
                </c:pt>
                <c:pt idx="104">
                  <c:v>01.6.2015</c:v>
                </c:pt>
                <c:pt idx="105">
                  <c:v>01.7.2015</c:v>
                </c:pt>
                <c:pt idx="106">
                  <c:v>01.8.2015</c:v>
                </c:pt>
                <c:pt idx="107">
                  <c:v>01.9.2015</c:v>
                </c:pt>
                <c:pt idx="108">
                  <c:v>01.10.2015</c:v>
                </c:pt>
                <c:pt idx="109">
                  <c:v>01.11.2015</c:v>
                </c:pt>
                <c:pt idx="110">
                  <c:v>01.12.2015</c:v>
                </c:pt>
                <c:pt idx="111">
                  <c:v>01.1.2016</c:v>
                </c:pt>
                <c:pt idx="112">
                  <c:v>01.2.2016</c:v>
                </c:pt>
                <c:pt idx="113">
                  <c:v>01.3.2016</c:v>
                </c:pt>
                <c:pt idx="114">
                  <c:v>01.4.2016</c:v>
                </c:pt>
                <c:pt idx="115">
                  <c:v>01.5.2016</c:v>
                </c:pt>
                <c:pt idx="116">
                  <c:v>01.6.2016</c:v>
                </c:pt>
                <c:pt idx="117">
                  <c:v>01.7.2016</c:v>
                </c:pt>
                <c:pt idx="118">
                  <c:v>01.8.2016</c:v>
                </c:pt>
                <c:pt idx="119">
                  <c:v>01.9.2016</c:v>
                </c:pt>
                <c:pt idx="120">
                  <c:v>01.10.2016</c:v>
                </c:pt>
                <c:pt idx="121">
                  <c:v>01.11.2016</c:v>
                </c:pt>
                <c:pt idx="122">
                  <c:v>01.12.2016</c:v>
                </c:pt>
                <c:pt idx="123">
                  <c:v>01.1.2017</c:v>
                </c:pt>
                <c:pt idx="124">
                  <c:v>01.2.2017</c:v>
                </c:pt>
                <c:pt idx="125">
                  <c:v>01.3.2017</c:v>
                </c:pt>
                <c:pt idx="126">
                  <c:v>01.4.2017</c:v>
                </c:pt>
                <c:pt idx="127">
                  <c:v>01.5.2017</c:v>
                </c:pt>
                <c:pt idx="128">
                  <c:v>01.6.2017</c:v>
                </c:pt>
                <c:pt idx="129">
                  <c:v>01.7.2017</c:v>
                </c:pt>
                <c:pt idx="130">
                  <c:v>01.8.2017</c:v>
                </c:pt>
                <c:pt idx="131">
                  <c:v>01.9.2017</c:v>
                </c:pt>
                <c:pt idx="132">
                  <c:v>01.10.2017</c:v>
                </c:pt>
                <c:pt idx="133">
                  <c:v>01.11.2017</c:v>
                </c:pt>
                <c:pt idx="134">
                  <c:v>01.12.2017</c:v>
                </c:pt>
                <c:pt idx="135">
                  <c:v>01.1.2018</c:v>
                </c:pt>
                <c:pt idx="136">
                  <c:v>01.2.2018</c:v>
                </c:pt>
                <c:pt idx="137">
                  <c:v>01.3.2018</c:v>
                </c:pt>
                <c:pt idx="138">
                  <c:v>01.4.2018</c:v>
                </c:pt>
                <c:pt idx="139">
                  <c:v>01.5.2018</c:v>
                </c:pt>
                <c:pt idx="140">
                  <c:v>01.6.2018</c:v>
                </c:pt>
                <c:pt idx="141">
                  <c:v>01.7.2018</c:v>
                </c:pt>
                <c:pt idx="142">
                  <c:v>01.8.2018</c:v>
                </c:pt>
                <c:pt idx="143">
                  <c:v>01.9.2018</c:v>
                </c:pt>
                <c:pt idx="144">
                  <c:v>01.10.2018</c:v>
                </c:pt>
                <c:pt idx="145">
                  <c:v>01.11.2018</c:v>
                </c:pt>
                <c:pt idx="146">
                  <c:v>01.12.2018</c:v>
                </c:pt>
                <c:pt idx="147">
                  <c:v>01.1.2019</c:v>
                </c:pt>
                <c:pt idx="148">
                  <c:v>01.2.2019</c:v>
                </c:pt>
                <c:pt idx="149">
                  <c:v>01.3.2019</c:v>
                </c:pt>
                <c:pt idx="150">
                  <c:v>01.4.2019</c:v>
                </c:pt>
                <c:pt idx="151">
                  <c:v>01.5.2019</c:v>
                </c:pt>
                <c:pt idx="152">
                  <c:v>01.6.2019</c:v>
                </c:pt>
                <c:pt idx="153">
                  <c:v>01.7.2019</c:v>
                </c:pt>
                <c:pt idx="154">
                  <c:v>01.8.2019</c:v>
                </c:pt>
                <c:pt idx="155">
                  <c:v>01.9.2019</c:v>
                </c:pt>
                <c:pt idx="156">
                  <c:v>01.10.2019</c:v>
                </c:pt>
                <c:pt idx="157">
                  <c:v>01.11.2019</c:v>
                </c:pt>
                <c:pt idx="158">
                  <c:v>01.12.2019</c:v>
                </c:pt>
                <c:pt idx="159">
                  <c:v>01.1.2020</c:v>
                </c:pt>
                <c:pt idx="160">
                  <c:v>01.2.2020</c:v>
                </c:pt>
                <c:pt idx="161">
                  <c:v>01.3.2020</c:v>
                </c:pt>
                <c:pt idx="162">
                  <c:v>01.4.2020</c:v>
                </c:pt>
                <c:pt idx="163">
                  <c:v>01.5.2020</c:v>
                </c:pt>
                <c:pt idx="164">
                  <c:v>01.6.2020</c:v>
                </c:pt>
                <c:pt idx="165">
                  <c:v>01.7.2020</c:v>
                </c:pt>
                <c:pt idx="166">
                  <c:v>01.8.2020</c:v>
                </c:pt>
                <c:pt idx="167">
                  <c:v>01.9.2020</c:v>
                </c:pt>
                <c:pt idx="168">
                  <c:v>01.10.2020</c:v>
                </c:pt>
                <c:pt idx="169">
                  <c:v>01.11.2020</c:v>
                </c:pt>
                <c:pt idx="170">
                  <c:v>01.12.2020</c:v>
                </c:pt>
                <c:pt idx="171">
                  <c:v>01.1.2021</c:v>
                </c:pt>
                <c:pt idx="172">
                  <c:v>01.2.2021</c:v>
                </c:pt>
                <c:pt idx="173">
                  <c:v>01.3.2021</c:v>
                </c:pt>
                <c:pt idx="174">
                  <c:v>01.4.2021</c:v>
                </c:pt>
                <c:pt idx="175">
                  <c:v>01.5.2021</c:v>
                </c:pt>
                <c:pt idx="176">
                  <c:v>01.6.2021</c:v>
                </c:pt>
                <c:pt idx="177">
                  <c:v>01.7.2021</c:v>
                </c:pt>
                <c:pt idx="178">
                  <c:v>01.8.2021</c:v>
                </c:pt>
                <c:pt idx="179">
                  <c:v>01.9.2021</c:v>
                </c:pt>
                <c:pt idx="180">
                  <c:v>01.10.2021</c:v>
                </c:pt>
                <c:pt idx="181">
                  <c:v>01.11.2021</c:v>
                </c:pt>
                <c:pt idx="182">
                  <c:v>01.12.2021</c:v>
                </c:pt>
              </c:strCache>
            </c:strRef>
          </c:cat>
          <c:val>
            <c:numRef>
              <c:f>'MAIN-Analisys'!$A$142:$GA$142</c:f>
              <c:numCache>
                <c:formatCode>General</c:formatCode>
                <c:ptCount val="183"/>
                <c:pt idx="1">
                  <c:v>54.5</c:v>
                </c:pt>
                <c:pt idx="2">
                  <c:v>53.7</c:v>
                </c:pt>
                <c:pt idx="3">
                  <c:v>55.6</c:v>
                </c:pt>
                <c:pt idx="4">
                  <c:v>54.2</c:v>
                </c:pt>
                <c:pt idx="5">
                  <c:v>52</c:v>
                </c:pt>
                <c:pt idx="6">
                  <c:v>53.3</c:v>
                </c:pt>
                <c:pt idx="7">
                  <c:v>54.2</c:v>
                </c:pt>
                <c:pt idx="8">
                  <c:v>55.3</c:v>
                </c:pt>
                <c:pt idx="9">
                  <c:v>53.6</c:v>
                </c:pt>
                <c:pt idx="10">
                  <c:v>52.8</c:v>
                </c:pt>
                <c:pt idx="11">
                  <c:v>52.5</c:v>
                </c:pt>
                <c:pt idx="12">
                  <c:v>53.5</c:v>
                </c:pt>
                <c:pt idx="13">
                  <c:v>52.7</c:v>
                </c:pt>
                <c:pt idx="14">
                  <c:v>52.5</c:v>
                </c:pt>
                <c:pt idx="15">
                  <c:v>45</c:v>
                </c:pt>
                <c:pt idx="16">
                  <c:v>49.3</c:v>
                </c:pt>
                <c:pt idx="17">
                  <c:v>49.6</c:v>
                </c:pt>
                <c:pt idx="18">
                  <c:v>52</c:v>
                </c:pt>
                <c:pt idx="19">
                  <c:v>51.7</c:v>
                </c:pt>
                <c:pt idx="20">
                  <c:v>48.2</c:v>
                </c:pt>
                <c:pt idx="21">
                  <c:v>49.5</c:v>
                </c:pt>
                <c:pt idx="22">
                  <c:v>50.6</c:v>
                </c:pt>
                <c:pt idx="23">
                  <c:v>50.2</c:v>
                </c:pt>
                <c:pt idx="24">
                  <c:v>44.4</c:v>
                </c:pt>
                <c:pt idx="25">
                  <c:v>37.299999999999997</c:v>
                </c:pt>
                <c:pt idx="26">
                  <c:v>40.6</c:v>
                </c:pt>
                <c:pt idx="27">
                  <c:v>42.9</c:v>
                </c:pt>
                <c:pt idx="28">
                  <c:v>41.6</c:v>
                </c:pt>
                <c:pt idx="29">
                  <c:v>40.799999999999997</c:v>
                </c:pt>
                <c:pt idx="30">
                  <c:v>43.7</c:v>
                </c:pt>
                <c:pt idx="31">
                  <c:v>44</c:v>
                </c:pt>
                <c:pt idx="32">
                  <c:v>47</c:v>
                </c:pt>
                <c:pt idx="33">
                  <c:v>46.4</c:v>
                </c:pt>
                <c:pt idx="34">
                  <c:v>48.4</c:v>
                </c:pt>
                <c:pt idx="35">
                  <c:v>50.9</c:v>
                </c:pt>
                <c:pt idx="36">
                  <c:v>50.6</c:v>
                </c:pt>
                <c:pt idx="37">
                  <c:v>48.7</c:v>
                </c:pt>
                <c:pt idx="38">
                  <c:v>50.1</c:v>
                </c:pt>
                <c:pt idx="39">
                  <c:v>50.5</c:v>
                </c:pt>
                <c:pt idx="40">
                  <c:v>53</c:v>
                </c:pt>
                <c:pt idx="41">
                  <c:v>55.4</c:v>
                </c:pt>
                <c:pt idx="42">
                  <c:v>55.4</c:v>
                </c:pt>
                <c:pt idx="43">
                  <c:v>55.4</c:v>
                </c:pt>
                <c:pt idx="44">
                  <c:v>53.8</c:v>
                </c:pt>
                <c:pt idx="45">
                  <c:v>54.3</c:v>
                </c:pt>
                <c:pt idx="46">
                  <c:v>51.5</c:v>
                </c:pt>
                <c:pt idx="47">
                  <c:v>53.2</c:v>
                </c:pt>
                <c:pt idx="48">
                  <c:v>54.3</c:v>
                </c:pt>
                <c:pt idx="49">
                  <c:v>55</c:v>
                </c:pt>
                <c:pt idx="50">
                  <c:v>57.1</c:v>
                </c:pt>
                <c:pt idx="51">
                  <c:v>59.4</c:v>
                </c:pt>
                <c:pt idx="52">
                  <c:v>59.7</c:v>
                </c:pt>
                <c:pt idx="53">
                  <c:v>57.3</c:v>
                </c:pt>
                <c:pt idx="54">
                  <c:v>52.8</c:v>
                </c:pt>
                <c:pt idx="55">
                  <c:v>54.6</c:v>
                </c:pt>
                <c:pt idx="56">
                  <c:v>53.3</c:v>
                </c:pt>
                <c:pt idx="57">
                  <c:v>52.7</c:v>
                </c:pt>
                <c:pt idx="58">
                  <c:v>53.3</c:v>
                </c:pt>
                <c:pt idx="59">
                  <c:v>53</c:v>
                </c:pt>
                <c:pt idx="60">
                  <c:v>52.9</c:v>
                </c:pt>
                <c:pt idx="61">
                  <c:v>52</c:v>
                </c:pt>
                <c:pt idx="62">
                  <c:v>52.6</c:v>
                </c:pt>
                <c:pt idx="63">
                  <c:v>56.8</c:v>
                </c:pt>
                <c:pt idx="64">
                  <c:v>57.3</c:v>
                </c:pt>
                <c:pt idx="65">
                  <c:v>56</c:v>
                </c:pt>
                <c:pt idx="66">
                  <c:v>53.5</c:v>
                </c:pt>
                <c:pt idx="67">
                  <c:v>53.7</c:v>
                </c:pt>
                <c:pt idx="68">
                  <c:v>52.1</c:v>
                </c:pt>
                <c:pt idx="69">
                  <c:v>52.6</c:v>
                </c:pt>
                <c:pt idx="70">
                  <c:v>53.7</c:v>
                </c:pt>
                <c:pt idx="71">
                  <c:v>55.1</c:v>
                </c:pt>
                <c:pt idx="72">
                  <c:v>54.2</c:v>
                </c:pt>
                <c:pt idx="73">
                  <c:v>54.7</c:v>
                </c:pt>
                <c:pt idx="74">
                  <c:v>56.1</c:v>
                </c:pt>
                <c:pt idx="75">
                  <c:v>55.2</c:v>
                </c:pt>
                <c:pt idx="76">
                  <c:v>56</c:v>
                </c:pt>
                <c:pt idx="77">
                  <c:v>54.4</c:v>
                </c:pt>
                <c:pt idx="78">
                  <c:v>53.1</c:v>
                </c:pt>
                <c:pt idx="79">
                  <c:v>53.7</c:v>
                </c:pt>
                <c:pt idx="80">
                  <c:v>52.2</c:v>
                </c:pt>
                <c:pt idx="81">
                  <c:v>56</c:v>
                </c:pt>
                <c:pt idx="82">
                  <c:v>58.6</c:v>
                </c:pt>
                <c:pt idx="83">
                  <c:v>54.4</c:v>
                </c:pt>
                <c:pt idx="84">
                  <c:v>55.4</c:v>
                </c:pt>
                <c:pt idx="85">
                  <c:v>53.9</c:v>
                </c:pt>
                <c:pt idx="86">
                  <c:v>53</c:v>
                </c:pt>
                <c:pt idx="87">
                  <c:v>54</c:v>
                </c:pt>
                <c:pt idx="88">
                  <c:v>51.6</c:v>
                </c:pt>
                <c:pt idx="89">
                  <c:v>53.1</c:v>
                </c:pt>
                <c:pt idx="90">
                  <c:v>55.2</c:v>
                </c:pt>
                <c:pt idx="91">
                  <c:v>56.3</c:v>
                </c:pt>
                <c:pt idx="92">
                  <c:v>56</c:v>
                </c:pt>
                <c:pt idx="93">
                  <c:v>58.7</c:v>
                </c:pt>
                <c:pt idx="94">
                  <c:v>59.6</c:v>
                </c:pt>
                <c:pt idx="95">
                  <c:v>58.6</c:v>
                </c:pt>
                <c:pt idx="96">
                  <c:v>57.1</c:v>
                </c:pt>
                <c:pt idx="97">
                  <c:v>59.3</c:v>
                </c:pt>
                <c:pt idx="98">
                  <c:v>56.2</c:v>
                </c:pt>
                <c:pt idx="99">
                  <c:v>56.7</c:v>
                </c:pt>
                <c:pt idx="100">
                  <c:v>56.9</c:v>
                </c:pt>
                <c:pt idx="101">
                  <c:v>56.5</c:v>
                </c:pt>
                <c:pt idx="102">
                  <c:v>57.8</c:v>
                </c:pt>
                <c:pt idx="103">
                  <c:v>55.7</c:v>
                </c:pt>
                <c:pt idx="104">
                  <c:v>56</c:v>
                </c:pt>
                <c:pt idx="105">
                  <c:v>60.3</c:v>
                </c:pt>
                <c:pt idx="106">
                  <c:v>59</c:v>
                </c:pt>
                <c:pt idx="107">
                  <c:v>56.9</c:v>
                </c:pt>
                <c:pt idx="108">
                  <c:v>59.1</c:v>
                </c:pt>
                <c:pt idx="109">
                  <c:v>55.9</c:v>
                </c:pt>
                <c:pt idx="110">
                  <c:v>55.3</c:v>
                </c:pt>
                <c:pt idx="111">
                  <c:v>53.5</c:v>
                </c:pt>
                <c:pt idx="112">
                  <c:v>53.4</c:v>
                </c:pt>
                <c:pt idx="113">
                  <c:v>54.5</c:v>
                </c:pt>
                <c:pt idx="114">
                  <c:v>55.7</c:v>
                </c:pt>
                <c:pt idx="115">
                  <c:v>52.9</c:v>
                </c:pt>
                <c:pt idx="116">
                  <c:v>56.5</c:v>
                </c:pt>
                <c:pt idx="117">
                  <c:v>55.5</c:v>
                </c:pt>
                <c:pt idx="118">
                  <c:v>51.4</c:v>
                </c:pt>
                <c:pt idx="119">
                  <c:v>57.1</c:v>
                </c:pt>
                <c:pt idx="120">
                  <c:v>54.8</c:v>
                </c:pt>
                <c:pt idx="121">
                  <c:v>57.2</c:v>
                </c:pt>
                <c:pt idx="122">
                  <c:v>57.2</c:v>
                </c:pt>
                <c:pt idx="123">
                  <c:v>56.5</c:v>
                </c:pt>
                <c:pt idx="124">
                  <c:v>57.6</c:v>
                </c:pt>
                <c:pt idx="125">
                  <c:v>55.2</c:v>
                </c:pt>
                <c:pt idx="126">
                  <c:v>57.5</c:v>
                </c:pt>
                <c:pt idx="127">
                  <c:v>56.9</c:v>
                </c:pt>
                <c:pt idx="128">
                  <c:v>57.4</c:v>
                </c:pt>
                <c:pt idx="129">
                  <c:v>53.9</c:v>
                </c:pt>
                <c:pt idx="130">
                  <c:v>55.3</c:v>
                </c:pt>
                <c:pt idx="131">
                  <c:v>59.8</c:v>
                </c:pt>
                <c:pt idx="132">
                  <c:v>60.1</c:v>
                </c:pt>
                <c:pt idx="133">
                  <c:v>57.4</c:v>
                </c:pt>
                <c:pt idx="134">
                  <c:v>55.9</c:v>
                </c:pt>
                <c:pt idx="135">
                  <c:v>59.9</c:v>
                </c:pt>
                <c:pt idx="136">
                  <c:v>59.5</c:v>
                </c:pt>
                <c:pt idx="137">
                  <c:v>58.8</c:v>
                </c:pt>
                <c:pt idx="138">
                  <c:v>56.8</c:v>
                </c:pt>
                <c:pt idx="139">
                  <c:v>58.6</c:v>
                </c:pt>
                <c:pt idx="140">
                  <c:v>59.1</c:v>
                </c:pt>
                <c:pt idx="141">
                  <c:v>55.7</c:v>
                </c:pt>
                <c:pt idx="142">
                  <c:v>58.5</c:v>
                </c:pt>
                <c:pt idx="143">
                  <c:v>61.6</c:v>
                </c:pt>
                <c:pt idx="144">
                  <c:v>60.3</c:v>
                </c:pt>
                <c:pt idx="145">
                  <c:v>60.7</c:v>
                </c:pt>
                <c:pt idx="146">
                  <c:v>57.6</c:v>
                </c:pt>
                <c:pt idx="147">
                  <c:v>56.7</c:v>
                </c:pt>
                <c:pt idx="148">
                  <c:v>59.7</c:v>
                </c:pt>
                <c:pt idx="149">
                  <c:v>56.1</c:v>
                </c:pt>
                <c:pt idx="150">
                  <c:v>55.5</c:v>
                </c:pt>
                <c:pt idx="151">
                  <c:v>56.9</c:v>
                </c:pt>
                <c:pt idx="152">
                  <c:v>55.1</c:v>
                </c:pt>
                <c:pt idx="153">
                  <c:v>53.7</c:v>
                </c:pt>
                <c:pt idx="154">
                  <c:v>56.4</c:v>
                </c:pt>
                <c:pt idx="155">
                  <c:v>52.6</c:v>
                </c:pt>
                <c:pt idx="156">
                  <c:v>54.7</c:v>
                </c:pt>
                <c:pt idx="157">
                  <c:v>53.9</c:v>
                </c:pt>
                <c:pt idx="158">
                  <c:v>55</c:v>
                </c:pt>
                <c:pt idx="159">
                  <c:v>55.5</c:v>
                </c:pt>
                <c:pt idx="160">
                  <c:v>57.3</c:v>
                </c:pt>
                <c:pt idx="161">
                  <c:v>52.5</c:v>
                </c:pt>
                <c:pt idx="162">
                  <c:v>41.8</c:v>
                </c:pt>
                <c:pt idx="163">
                  <c:v>45.4</c:v>
                </c:pt>
                <c:pt idx="164">
                  <c:v>57.1</c:v>
                </c:pt>
                <c:pt idx="165">
                  <c:v>58.1</c:v>
                </c:pt>
                <c:pt idx="166">
                  <c:v>56.9</c:v>
                </c:pt>
                <c:pt idx="167">
                  <c:v>57.8</c:v>
                </c:pt>
                <c:pt idx="168">
                  <c:v>56.6</c:v>
                </c:pt>
                <c:pt idx="169">
                  <c:v>55.9</c:v>
                </c:pt>
                <c:pt idx="170">
                  <c:v>57.2</c:v>
                </c:pt>
                <c:pt idx="171">
                  <c:v>58.7</c:v>
                </c:pt>
                <c:pt idx="172">
                  <c:v>55.3</c:v>
                </c:pt>
                <c:pt idx="173">
                  <c:v>63.7</c:v>
                </c:pt>
                <c:pt idx="174">
                  <c:v>62.7</c:v>
                </c:pt>
                <c:pt idx="175">
                  <c:v>64</c:v>
                </c:pt>
                <c:pt idx="176">
                  <c:v>60.1</c:v>
                </c:pt>
                <c:pt idx="177">
                  <c:v>64.099999999999994</c:v>
                </c:pt>
                <c:pt idx="178">
                  <c:v>61.7</c:v>
                </c:pt>
                <c:pt idx="179">
                  <c:v>61.9</c:v>
                </c:pt>
                <c:pt idx="180">
                  <c:v>66.7</c:v>
                </c:pt>
                <c:pt idx="181">
                  <c:v>69.099999999999994</c:v>
                </c:pt>
                <c:pt idx="182">
                  <c:v>62</c:v>
                </c:pt>
              </c:numCache>
            </c:numRef>
          </c:val>
          <c:extLst>
            <c:ext xmlns:c16="http://schemas.microsoft.com/office/drawing/2014/chart" uri="{C3380CC4-5D6E-409C-BE32-E72D297353CC}">
              <c16:uniqueId val="{00000001-F6BD-4BDF-ADBC-785E548CDF47}"/>
            </c:ext>
          </c:extLst>
        </c:ser>
        <c:dLbls>
          <c:showLegendKey val="0"/>
          <c:showVal val="0"/>
          <c:showCatName val="0"/>
          <c:showSerName val="0"/>
          <c:showPercent val="0"/>
          <c:showBubbleSize val="0"/>
        </c:dLbls>
        <c:gapWidth val="100"/>
        <c:overlap val="-24"/>
        <c:axId val="76766605"/>
        <c:axId val="69289745"/>
      </c:barChart>
      <c:catAx>
        <c:axId val="76766605"/>
        <c:scaling>
          <c:orientation val="minMax"/>
        </c:scaling>
        <c:delete val="0"/>
        <c:axPos val="b"/>
        <c:numFmt formatCode="General" sourceLinked="1"/>
        <c:majorTickMark val="none"/>
        <c:minorTickMark val="none"/>
        <c:tickLblPos val="nextTo"/>
        <c:spPr>
          <a:ln w="12600">
            <a:solidFill>
              <a:srgbClr val="F2F2F2">
                <a:alpha val="54000"/>
              </a:srgbClr>
            </a:solidFill>
            <a:round/>
          </a:ln>
        </c:spPr>
        <c:txPr>
          <a:bodyPr/>
          <a:lstStyle/>
          <a:p>
            <a:pPr>
              <a:defRPr sz="900" b="0" strike="noStrike" spc="-1">
                <a:solidFill>
                  <a:srgbClr val="D9D9D9"/>
                </a:solidFill>
                <a:latin typeface="Calibri"/>
              </a:defRPr>
            </a:pPr>
            <a:endParaRPr lang="bg-BG"/>
          </a:p>
        </c:txPr>
        <c:crossAx val="69289745"/>
        <c:crosses val="autoZero"/>
        <c:auto val="1"/>
        <c:lblAlgn val="ctr"/>
        <c:lblOffset val="100"/>
        <c:noMultiLvlLbl val="1"/>
      </c:catAx>
      <c:valAx>
        <c:axId val="69289745"/>
        <c:scaling>
          <c:orientation val="minMax"/>
        </c:scaling>
        <c:delete val="0"/>
        <c:axPos val="l"/>
        <c:majorGridlines>
          <c:spPr>
            <a:ln w="9360">
              <a:solidFill>
                <a:srgbClr val="F2F2F2">
                  <a:alpha val="10000"/>
                </a:srgbClr>
              </a:solidFill>
              <a:round/>
            </a:ln>
          </c:spPr>
        </c:majorGridlines>
        <c:numFmt formatCode="General" sourceLinked="0"/>
        <c:majorTickMark val="none"/>
        <c:minorTickMark val="none"/>
        <c:tickLblPos val="nextTo"/>
        <c:spPr>
          <a:ln w="6480">
            <a:noFill/>
          </a:ln>
        </c:spPr>
        <c:txPr>
          <a:bodyPr/>
          <a:lstStyle/>
          <a:p>
            <a:pPr>
              <a:defRPr sz="900" b="0" strike="noStrike" spc="-1">
                <a:solidFill>
                  <a:srgbClr val="D9D9D9"/>
                </a:solidFill>
                <a:latin typeface="Calibri"/>
              </a:defRPr>
            </a:pPr>
            <a:endParaRPr lang="bg-BG"/>
          </a:p>
        </c:txPr>
        <c:crossAx val="76766605"/>
        <c:crosses val="autoZero"/>
        <c:crossBetween val="between"/>
      </c:valAx>
      <c:spPr>
        <a:noFill/>
        <a:ln>
          <a:noFill/>
        </a:ln>
      </c:spPr>
    </c:plotArea>
    <c:plotVisOnly val="1"/>
    <c:dispBlanksAs val="gap"/>
    <c:showDLblsOverMax val="1"/>
  </c:chart>
  <c:spPr>
    <a:gradFill>
      <a:gsLst>
        <a:gs pos="0">
          <a:srgbClr val="595959"/>
        </a:gs>
        <a:gs pos="100000">
          <a:srgbClr val="262626"/>
        </a:gs>
      </a:gsLst>
      <a:path path="circle"/>
    </a:gradFill>
    <a:ln>
      <a:noFill/>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9.xml"/><Relationship Id="rId13" Type="http://schemas.openxmlformats.org/officeDocument/2006/relationships/chart" Target="../charts/chart14.xml"/><Relationship Id="rId18" Type="http://schemas.openxmlformats.org/officeDocument/2006/relationships/chart" Target="../charts/chart19.xml"/><Relationship Id="rId3" Type="http://schemas.openxmlformats.org/officeDocument/2006/relationships/chart" Target="../charts/chart4.xml"/><Relationship Id="rId7" Type="http://schemas.openxmlformats.org/officeDocument/2006/relationships/chart" Target="../charts/chart8.xml"/><Relationship Id="rId12" Type="http://schemas.openxmlformats.org/officeDocument/2006/relationships/chart" Target="../charts/chart13.xml"/><Relationship Id="rId17" Type="http://schemas.openxmlformats.org/officeDocument/2006/relationships/chart" Target="../charts/chart18.xml"/><Relationship Id="rId2" Type="http://schemas.openxmlformats.org/officeDocument/2006/relationships/chart" Target="../charts/chart3.xml"/><Relationship Id="rId16" Type="http://schemas.openxmlformats.org/officeDocument/2006/relationships/chart" Target="../charts/chart17.xml"/><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chart" Target="../charts/chart12.xml"/><Relationship Id="rId5" Type="http://schemas.openxmlformats.org/officeDocument/2006/relationships/chart" Target="../charts/chart6.xml"/><Relationship Id="rId15" Type="http://schemas.openxmlformats.org/officeDocument/2006/relationships/chart" Target="../charts/chart16.xml"/><Relationship Id="rId10" Type="http://schemas.openxmlformats.org/officeDocument/2006/relationships/chart" Target="../charts/chart11.xml"/><Relationship Id="rId19" Type="http://schemas.openxmlformats.org/officeDocument/2006/relationships/chart" Target="../charts/chart20.xml"/><Relationship Id="rId4" Type="http://schemas.openxmlformats.org/officeDocument/2006/relationships/chart" Target="../charts/chart5.xml"/><Relationship Id="rId9" Type="http://schemas.openxmlformats.org/officeDocument/2006/relationships/chart" Target="../charts/chart10.xml"/><Relationship Id="rId14"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editAs="oneCell">
    <xdr:from>
      <xdr:col>0</xdr:col>
      <xdr:colOff>485640</xdr:colOff>
      <xdr:row>143</xdr:row>
      <xdr:rowOff>71640</xdr:rowOff>
    </xdr:from>
    <xdr:to>
      <xdr:col>15</xdr:col>
      <xdr:colOff>133080</xdr:colOff>
      <xdr:row>171</xdr:row>
      <xdr:rowOff>123480</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285840</xdr:colOff>
      <xdr:row>28</xdr:row>
      <xdr:rowOff>38160</xdr:rowOff>
    </xdr:from>
    <xdr:to>
      <xdr:col>10</xdr:col>
      <xdr:colOff>580875</xdr:colOff>
      <xdr:row>47</xdr:row>
      <xdr:rowOff>75960</xdr:rowOff>
    </xdr:to>
    <xdr:graphicFrame macro="">
      <xdr:nvGraphicFramePr>
        <xdr:cNvPr id="2" name="Chart 2">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295200</xdr:colOff>
      <xdr:row>48</xdr:row>
      <xdr:rowOff>104760</xdr:rowOff>
    </xdr:from>
    <xdr:to>
      <xdr:col>10</xdr:col>
      <xdr:colOff>580710</xdr:colOff>
      <xdr:row>67</xdr:row>
      <xdr:rowOff>142560</xdr:rowOff>
    </xdr:to>
    <xdr:graphicFrame macro="">
      <xdr:nvGraphicFramePr>
        <xdr:cNvPr id="3" name="Chart 3">
          <a:extLst>
            <a:ext uri="{FF2B5EF4-FFF2-40B4-BE49-F238E27FC236}">
              <a16:creationId xmlns:a16="http://schemas.microsoft.com/office/drawing/2014/main" id="{00000000-0008-0000-1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304920</xdr:colOff>
      <xdr:row>68</xdr:row>
      <xdr:rowOff>66600</xdr:rowOff>
    </xdr:from>
    <xdr:to>
      <xdr:col>11</xdr:col>
      <xdr:colOff>2400</xdr:colOff>
      <xdr:row>87</xdr:row>
      <xdr:rowOff>104400</xdr:rowOff>
    </xdr:to>
    <xdr:graphicFrame macro="">
      <xdr:nvGraphicFramePr>
        <xdr:cNvPr id="4" name="Chart 4">
          <a:extLst>
            <a:ext uri="{FF2B5EF4-FFF2-40B4-BE49-F238E27FC236}">
              <a16:creationId xmlns:a16="http://schemas.microsoft.com/office/drawing/2014/main" id="{00000000-0008-0000-1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314280</xdr:colOff>
      <xdr:row>88</xdr:row>
      <xdr:rowOff>28440</xdr:rowOff>
    </xdr:from>
    <xdr:to>
      <xdr:col>11</xdr:col>
      <xdr:colOff>9000</xdr:colOff>
      <xdr:row>107</xdr:row>
      <xdr:rowOff>66240</xdr:rowOff>
    </xdr:to>
    <xdr:graphicFrame macro="">
      <xdr:nvGraphicFramePr>
        <xdr:cNvPr id="5" name="Chart 5">
          <a:extLst>
            <a:ext uri="{FF2B5EF4-FFF2-40B4-BE49-F238E27FC236}">
              <a16:creationId xmlns:a16="http://schemas.microsoft.com/office/drawing/2014/main" id="{00000000-0008-0000-1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304920</xdr:colOff>
      <xdr:row>108</xdr:row>
      <xdr:rowOff>0</xdr:rowOff>
    </xdr:from>
    <xdr:to>
      <xdr:col>11</xdr:col>
      <xdr:colOff>2400</xdr:colOff>
      <xdr:row>127</xdr:row>
      <xdr:rowOff>37800</xdr:rowOff>
    </xdr:to>
    <xdr:graphicFrame macro="">
      <xdr:nvGraphicFramePr>
        <xdr:cNvPr id="6" name="Chart 6">
          <a:extLst>
            <a:ext uri="{FF2B5EF4-FFF2-40B4-BE49-F238E27FC236}">
              <a16:creationId xmlns:a16="http://schemas.microsoft.com/office/drawing/2014/main" id="{00000000-0008-0000-1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324000</xdr:colOff>
      <xdr:row>127</xdr:row>
      <xdr:rowOff>152280</xdr:rowOff>
    </xdr:from>
    <xdr:to>
      <xdr:col>11</xdr:col>
      <xdr:colOff>18720</xdr:colOff>
      <xdr:row>146</xdr:row>
      <xdr:rowOff>190080</xdr:rowOff>
    </xdr:to>
    <xdr:graphicFrame macro="">
      <xdr:nvGraphicFramePr>
        <xdr:cNvPr id="7" name="Chart 7">
          <a:extLst>
            <a:ext uri="{FF2B5EF4-FFF2-40B4-BE49-F238E27FC236}">
              <a16:creationId xmlns:a16="http://schemas.microsoft.com/office/drawing/2014/main" id="{00000000-0008-0000-1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314280</xdr:colOff>
      <xdr:row>148</xdr:row>
      <xdr:rowOff>0</xdr:rowOff>
    </xdr:from>
    <xdr:to>
      <xdr:col>11</xdr:col>
      <xdr:colOff>9000</xdr:colOff>
      <xdr:row>167</xdr:row>
      <xdr:rowOff>37800</xdr:rowOff>
    </xdr:to>
    <xdr:graphicFrame macro="">
      <xdr:nvGraphicFramePr>
        <xdr:cNvPr id="8" name="Chart 8">
          <a:extLst>
            <a:ext uri="{FF2B5EF4-FFF2-40B4-BE49-F238E27FC236}">
              <a16:creationId xmlns:a16="http://schemas.microsoft.com/office/drawing/2014/main" id="{00000000-0008-0000-1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324000</xdr:colOff>
      <xdr:row>168</xdr:row>
      <xdr:rowOff>57240</xdr:rowOff>
    </xdr:from>
    <xdr:to>
      <xdr:col>11</xdr:col>
      <xdr:colOff>18720</xdr:colOff>
      <xdr:row>187</xdr:row>
      <xdr:rowOff>95040</xdr:rowOff>
    </xdr:to>
    <xdr:graphicFrame macro="">
      <xdr:nvGraphicFramePr>
        <xdr:cNvPr id="9" name="Chart 9">
          <a:extLst>
            <a:ext uri="{FF2B5EF4-FFF2-40B4-BE49-F238E27FC236}">
              <a16:creationId xmlns:a16="http://schemas.microsoft.com/office/drawing/2014/main" id="{00000000-0008-0000-12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0</xdr:col>
      <xdr:colOff>314280</xdr:colOff>
      <xdr:row>188</xdr:row>
      <xdr:rowOff>38160</xdr:rowOff>
    </xdr:from>
    <xdr:to>
      <xdr:col>11</xdr:col>
      <xdr:colOff>9000</xdr:colOff>
      <xdr:row>207</xdr:row>
      <xdr:rowOff>75960</xdr:rowOff>
    </xdr:to>
    <xdr:graphicFrame macro="">
      <xdr:nvGraphicFramePr>
        <xdr:cNvPr id="10" name="Chart 10">
          <a:extLst>
            <a:ext uri="{FF2B5EF4-FFF2-40B4-BE49-F238E27FC236}">
              <a16:creationId xmlns:a16="http://schemas.microsoft.com/office/drawing/2014/main" id="{00000000-0008-0000-12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0</xdr:col>
      <xdr:colOff>304920</xdr:colOff>
      <xdr:row>208</xdr:row>
      <xdr:rowOff>38160</xdr:rowOff>
    </xdr:from>
    <xdr:to>
      <xdr:col>11</xdr:col>
      <xdr:colOff>2400</xdr:colOff>
      <xdr:row>227</xdr:row>
      <xdr:rowOff>75960</xdr:rowOff>
    </xdr:to>
    <xdr:graphicFrame macro="">
      <xdr:nvGraphicFramePr>
        <xdr:cNvPr id="11" name="Chart 11">
          <a:extLst>
            <a:ext uri="{FF2B5EF4-FFF2-40B4-BE49-F238E27FC236}">
              <a16:creationId xmlns:a16="http://schemas.microsoft.com/office/drawing/2014/main" id="{00000000-0008-0000-12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0</xdr:col>
      <xdr:colOff>295200</xdr:colOff>
      <xdr:row>228</xdr:row>
      <xdr:rowOff>47520</xdr:rowOff>
    </xdr:from>
    <xdr:to>
      <xdr:col>10</xdr:col>
      <xdr:colOff>580710</xdr:colOff>
      <xdr:row>247</xdr:row>
      <xdr:rowOff>85320</xdr:rowOff>
    </xdr:to>
    <xdr:graphicFrame macro="">
      <xdr:nvGraphicFramePr>
        <xdr:cNvPr id="12" name="Chart 12">
          <a:extLst>
            <a:ext uri="{FF2B5EF4-FFF2-40B4-BE49-F238E27FC236}">
              <a16:creationId xmlns:a16="http://schemas.microsoft.com/office/drawing/2014/main" id="{00000000-0008-0000-12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0</xdr:col>
      <xdr:colOff>304920</xdr:colOff>
      <xdr:row>248</xdr:row>
      <xdr:rowOff>0</xdr:rowOff>
    </xdr:from>
    <xdr:to>
      <xdr:col>11</xdr:col>
      <xdr:colOff>2400</xdr:colOff>
      <xdr:row>267</xdr:row>
      <xdr:rowOff>37800</xdr:rowOff>
    </xdr:to>
    <xdr:graphicFrame macro="">
      <xdr:nvGraphicFramePr>
        <xdr:cNvPr id="13" name="Chart 13">
          <a:extLst>
            <a:ext uri="{FF2B5EF4-FFF2-40B4-BE49-F238E27FC236}">
              <a16:creationId xmlns:a16="http://schemas.microsoft.com/office/drawing/2014/main" id="{00000000-0008-0000-12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oneCell">
    <xdr:from>
      <xdr:col>0</xdr:col>
      <xdr:colOff>295200</xdr:colOff>
      <xdr:row>268</xdr:row>
      <xdr:rowOff>9360</xdr:rowOff>
    </xdr:from>
    <xdr:to>
      <xdr:col>10</xdr:col>
      <xdr:colOff>580710</xdr:colOff>
      <xdr:row>287</xdr:row>
      <xdr:rowOff>47160</xdr:rowOff>
    </xdr:to>
    <xdr:graphicFrame macro="">
      <xdr:nvGraphicFramePr>
        <xdr:cNvPr id="14" name="Chart 14">
          <a:extLst>
            <a:ext uri="{FF2B5EF4-FFF2-40B4-BE49-F238E27FC236}">
              <a16:creationId xmlns:a16="http://schemas.microsoft.com/office/drawing/2014/main" id="{00000000-0008-0000-12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0</xdr:col>
      <xdr:colOff>304920</xdr:colOff>
      <xdr:row>288</xdr:row>
      <xdr:rowOff>0</xdr:rowOff>
    </xdr:from>
    <xdr:to>
      <xdr:col>11</xdr:col>
      <xdr:colOff>2400</xdr:colOff>
      <xdr:row>307</xdr:row>
      <xdr:rowOff>37800</xdr:rowOff>
    </xdr:to>
    <xdr:graphicFrame macro="">
      <xdr:nvGraphicFramePr>
        <xdr:cNvPr id="15" name="Chart 15">
          <a:extLst>
            <a:ext uri="{FF2B5EF4-FFF2-40B4-BE49-F238E27FC236}">
              <a16:creationId xmlns:a16="http://schemas.microsoft.com/office/drawing/2014/main" id="{00000000-0008-0000-12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0</xdr:col>
      <xdr:colOff>314280</xdr:colOff>
      <xdr:row>308</xdr:row>
      <xdr:rowOff>19080</xdr:rowOff>
    </xdr:from>
    <xdr:to>
      <xdr:col>11</xdr:col>
      <xdr:colOff>9000</xdr:colOff>
      <xdr:row>327</xdr:row>
      <xdr:rowOff>56880</xdr:rowOff>
    </xdr:to>
    <xdr:graphicFrame macro="">
      <xdr:nvGraphicFramePr>
        <xdr:cNvPr id="16" name="Chart 16">
          <a:extLst>
            <a:ext uri="{FF2B5EF4-FFF2-40B4-BE49-F238E27FC236}">
              <a16:creationId xmlns:a16="http://schemas.microsoft.com/office/drawing/2014/main" id="{00000000-0008-0000-12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0</xdr:col>
      <xdr:colOff>314280</xdr:colOff>
      <xdr:row>328</xdr:row>
      <xdr:rowOff>19080</xdr:rowOff>
    </xdr:from>
    <xdr:to>
      <xdr:col>11</xdr:col>
      <xdr:colOff>9000</xdr:colOff>
      <xdr:row>347</xdr:row>
      <xdr:rowOff>56880</xdr:rowOff>
    </xdr:to>
    <xdr:graphicFrame macro="">
      <xdr:nvGraphicFramePr>
        <xdr:cNvPr id="17" name="Chart 17">
          <a:extLst>
            <a:ext uri="{FF2B5EF4-FFF2-40B4-BE49-F238E27FC236}">
              <a16:creationId xmlns:a16="http://schemas.microsoft.com/office/drawing/2014/main" id="{00000000-0008-0000-12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oneCell">
    <xdr:from>
      <xdr:col>0</xdr:col>
      <xdr:colOff>295200</xdr:colOff>
      <xdr:row>347</xdr:row>
      <xdr:rowOff>181080</xdr:rowOff>
    </xdr:from>
    <xdr:to>
      <xdr:col>10</xdr:col>
      <xdr:colOff>580710</xdr:colOff>
      <xdr:row>367</xdr:row>
      <xdr:rowOff>28440</xdr:rowOff>
    </xdr:to>
    <xdr:graphicFrame macro="">
      <xdr:nvGraphicFramePr>
        <xdr:cNvPr id="18" name="Chart 18">
          <a:extLst>
            <a:ext uri="{FF2B5EF4-FFF2-40B4-BE49-F238E27FC236}">
              <a16:creationId xmlns:a16="http://schemas.microsoft.com/office/drawing/2014/main" id="{00000000-0008-0000-12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oneCell">
    <xdr:from>
      <xdr:col>0</xdr:col>
      <xdr:colOff>314280</xdr:colOff>
      <xdr:row>368</xdr:row>
      <xdr:rowOff>19080</xdr:rowOff>
    </xdr:from>
    <xdr:to>
      <xdr:col>11</xdr:col>
      <xdr:colOff>9000</xdr:colOff>
      <xdr:row>387</xdr:row>
      <xdr:rowOff>56880</xdr:rowOff>
    </xdr:to>
    <xdr:graphicFrame macro="">
      <xdr:nvGraphicFramePr>
        <xdr:cNvPr id="19" name="Chart 19">
          <a:extLst>
            <a:ext uri="{FF2B5EF4-FFF2-40B4-BE49-F238E27FC236}">
              <a16:creationId xmlns:a16="http://schemas.microsoft.com/office/drawing/2014/main" id="{00000000-0008-0000-12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editAs="oneCell">
    <xdr:from>
      <xdr:col>0</xdr:col>
      <xdr:colOff>190440</xdr:colOff>
      <xdr:row>0</xdr:row>
      <xdr:rowOff>76320</xdr:rowOff>
    </xdr:from>
    <xdr:to>
      <xdr:col>27</xdr:col>
      <xdr:colOff>580710</xdr:colOff>
      <xdr:row>25</xdr:row>
      <xdr:rowOff>28440</xdr:rowOff>
    </xdr:to>
    <xdr:graphicFrame macro="">
      <xdr:nvGraphicFramePr>
        <xdr:cNvPr id="20" name="Chart 20">
          <a:extLst>
            <a:ext uri="{FF2B5EF4-FFF2-40B4-BE49-F238E27FC236}">
              <a16:creationId xmlns:a16="http://schemas.microsoft.com/office/drawing/2014/main" id="{00000000-0008-0000-12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G124"/>
  <sheetViews>
    <sheetView zoomScaleNormal="100" workbookViewId="0">
      <selection activeCell="O29" sqref="O29"/>
    </sheetView>
  </sheetViews>
  <sheetFormatPr defaultRowHeight="15" x14ac:dyDescent="0.25"/>
  <cols>
    <col min="1" max="1" width="43.85546875" customWidth="1"/>
    <col min="2" max="2" width="43.42578125" customWidth="1"/>
    <col min="3" max="3" width="15.28515625" customWidth="1"/>
    <col min="4" max="7" width="8.7109375" customWidth="1"/>
    <col min="9" max="1025" width="8.7109375" customWidth="1"/>
  </cols>
  <sheetData>
    <row r="1" spans="1:7" x14ac:dyDescent="0.25">
      <c r="A1" s="39" t="s">
        <v>0</v>
      </c>
      <c r="B1" s="39"/>
      <c r="C1" s="39"/>
    </row>
    <row r="2" spans="1:7" x14ac:dyDescent="0.25">
      <c r="A2" s="1" t="s">
        <v>1</v>
      </c>
      <c r="B2" s="1" t="str">
        <f t="shared" ref="B2:B19" si="0">TRIM(A2)</f>
        <v>Arts, Entertainment &amp; Recreation</v>
      </c>
      <c r="C2" s="1">
        <v>15</v>
      </c>
    </row>
    <row r="3" spans="1:7" x14ac:dyDescent="0.25">
      <c r="A3" s="1" t="s">
        <v>2</v>
      </c>
      <c r="B3" s="1" t="str">
        <f t="shared" si="0"/>
        <v>Health Care &amp; Social Assistance</v>
      </c>
      <c r="C3" s="1">
        <v>14</v>
      </c>
      <c r="F3" t="s">
        <v>31</v>
      </c>
      <c r="G3" s="29" t="s">
        <v>4028</v>
      </c>
    </row>
    <row r="4" spans="1:7" x14ac:dyDescent="0.25">
      <c r="A4" s="1" t="s">
        <v>3</v>
      </c>
      <c r="B4" s="1" t="str">
        <f t="shared" si="0"/>
        <v>Utilities</v>
      </c>
      <c r="C4" s="1">
        <v>13</v>
      </c>
      <c r="F4" t="s">
        <v>20</v>
      </c>
      <c r="G4" s="29" t="s">
        <v>4029</v>
      </c>
    </row>
    <row r="5" spans="1:7" x14ac:dyDescent="0.25">
      <c r="A5" s="1" t="s">
        <v>4</v>
      </c>
      <c r="B5" s="1" t="str">
        <f t="shared" si="0"/>
        <v>Accommodation &amp; Food Services</v>
      </c>
      <c r="C5" s="1">
        <v>12</v>
      </c>
      <c r="F5" t="s">
        <v>27</v>
      </c>
      <c r="G5" s="29" t="s">
        <v>4030</v>
      </c>
    </row>
    <row r="6" spans="1:7" x14ac:dyDescent="0.25">
      <c r="A6" s="1" t="s">
        <v>5</v>
      </c>
      <c r="B6" s="1" t="str">
        <f t="shared" si="0"/>
        <v>Transportation &amp; Warehousing</v>
      </c>
      <c r="C6" s="1">
        <v>11</v>
      </c>
      <c r="F6" t="s">
        <v>23</v>
      </c>
      <c r="G6" s="29" t="s">
        <v>4031</v>
      </c>
    </row>
    <row r="7" spans="1:7" x14ac:dyDescent="0.25">
      <c r="A7" s="1" t="s">
        <v>6</v>
      </c>
      <c r="B7" s="1" t="str">
        <f t="shared" si="0"/>
        <v>Wholesale Trade</v>
      </c>
      <c r="C7" s="1">
        <v>10</v>
      </c>
      <c r="F7" t="s">
        <v>43</v>
      </c>
      <c r="G7" s="29" t="s">
        <v>4032</v>
      </c>
    </row>
    <row r="8" spans="1:7" x14ac:dyDescent="0.25">
      <c r="A8" s="1" t="s">
        <v>7</v>
      </c>
      <c r="B8" s="1" t="str">
        <f t="shared" si="0"/>
        <v>Construction</v>
      </c>
      <c r="C8" s="1">
        <v>9</v>
      </c>
      <c r="F8" t="s">
        <v>28</v>
      </c>
      <c r="G8" s="29" t="s">
        <v>4033</v>
      </c>
    </row>
    <row r="9" spans="1:7" x14ac:dyDescent="0.25">
      <c r="A9" s="1" t="s">
        <v>8</v>
      </c>
      <c r="B9" s="1" t="str">
        <f t="shared" si="0"/>
        <v>Retail Trade</v>
      </c>
      <c r="C9" s="1">
        <v>8</v>
      </c>
      <c r="F9" t="s">
        <v>36</v>
      </c>
      <c r="G9" s="29" t="s">
        <v>4034</v>
      </c>
    </row>
    <row r="10" spans="1:7" x14ac:dyDescent="0.25">
      <c r="A10" s="1" t="s">
        <v>9</v>
      </c>
      <c r="B10" s="1" t="str">
        <f t="shared" si="0"/>
        <v>Management of Companies &amp; Support Services</v>
      </c>
      <c r="C10" s="1">
        <v>7</v>
      </c>
      <c r="F10" t="s">
        <v>15</v>
      </c>
      <c r="G10" s="29" t="s">
        <v>4035</v>
      </c>
    </row>
    <row r="11" spans="1:7" x14ac:dyDescent="0.25">
      <c r="A11" s="1" t="s">
        <v>10</v>
      </c>
      <c r="B11" s="1" t="str">
        <f t="shared" si="0"/>
        <v>Public Administration</v>
      </c>
      <c r="C11" s="1">
        <v>6</v>
      </c>
      <c r="F11" t="s">
        <v>25</v>
      </c>
      <c r="G11" s="29" t="s">
        <v>4036</v>
      </c>
    </row>
    <row r="12" spans="1:7" x14ac:dyDescent="0.25">
      <c r="A12" s="1" t="s">
        <v>11</v>
      </c>
      <c r="B12" s="1" t="str">
        <f t="shared" si="0"/>
        <v>Finance &amp; Insurance</v>
      </c>
      <c r="C12" s="1">
        <v>5</v>
      </c>
      <c r="F12" t="s">
        <v>29</v>
      </c>
      <c r="G12" s="29" t="s">
        <v>4037</v>
      </c>
    </row>
    <row r="13" spans="1:7" x14ac:dyDescent="0.25">
      <c r="A13" s="1" t="s">
        <v>12</v>
      </c>
      <c r="B13" s="1" t="str">
        <f t="shared" si="0"/>
        <v>Educational Services</v>
      </c>
      <c r="C13" s="1">
        <v>4</v>
      </c>
    </row>
    <row r="14" spans="1:7" x14ac:dyDescent="0.25">
      <c r="A14" s="1" t="s">
        <v>13</v>
      </c>
      <c r="B14" s="1" t="str">
        <f t="shared" si="0"/>
        <v>Agriculture, Forestry, Fishing &amp; Hunting</v>
      </c>
      <c r="C14" s="1">
        <v>3</v>
      </c>
    </row>
    <row r="15" spans="1:7" x14ac:dyDescent="0.25">
      <c r="A15" s="1" t="s">
        <v>14</v>
      </c>
      <c r="B15" s="1" t="str">
        <f t="shared" si="0"/>
        <v>Real Estate, Rental &amp; Leasing</v>
      </c>
      <c r="C15" s="1">
        <v>2</v>
      </c>
    </row>
    <row r="16" spans="1:7" x14ac:dyDescent="0.25">
      <c r="A16" s="1" t="s">
        <v>15</v>
      </c>
      <c r="B16" s="1" t="str">
        <f t="shared" si="0"/>
        <v>Professional, Scientific &amp; Technical Services</v>
      </c>
      <c r="C16" s="1">
        <v>1</v>
      </c>
    </row>
    <row r="17" spans="1:3" x14ac:dyDescent="0.25">
      <c r="A17" s="1" t="s">
        <v>16</v>
      </c>
      <c r="B17" s="1" t="str">
        <f t="shared" si="0"/>
        <v>Mining</v>
      </c>
      <c r="C17" s="1">
        <v>-3</v>
      </c>
    </row>
    <row r="18" spans="1:3" x14ac:dyDescent="0.25">
      <c r="A18" s="1" t="s">
        <v>17</v>
      </c>
      <c r="B18" s="1" t="str">
        <f t="shared" si="0"/>
        <v>Information</v>
      </c>
      <c r="C18" s="1">
        <v>-2</v>
      </c>
    </row>
    <row r="19" spans="1:3" x14ac:dyDescent="0.25">
      <c r="A19" s="1" t="s">
        <v>18</v>
      </c>
      <c r="B19" s="1" t="str">
        <f t="shared" si="0"/>
        <v>Other Services</v>
      </c>
      <c r="C19" s="1">
        <v>-1</v>
      </c>
    </row>
    <row r="21" spans="1:3" x14ac:dyDescent="0.25">
      <c r="A21" s="39" t="s">
        <v>19</v>
      </c>
      <c r="B21" s="39"/>
      <c r="C21" s="39"/>
    </row>
    <row r="22" spans="1:3" x14ac:dyDescent="0.25">
      <c r="A22" s="1" t="s">
        <v>1</v>
      </c>
      <c r="B22" s="1" t="str">
        <f t="shared" ref="B22:B38" si="1">TRIM(A22)</f>
        <v>Arts, Entertainment &amp; Recreation</v>
      </c>
      <c r="C22" s="1">
        <v>12</v>
      </c>
    </row>
    <row r="23" spans="1:3" x14ac:dyDescent="0.25">
      <c r="A23" s="1" t="s">
        <v>3</v>
      </c>
      <c r="B23" s="1" t="str">
        <f t="shared" si="1"/>
        <v>Utilities</v>
      </c>
      <c r="C23" s="1">
        <v>11</v>
      </c>
    </row>
    <row r="24" spans="1:3" x14ac:dyDescent="0.25">
      <c r="A24" s="1" t="s">
        <v>10</v>
      </c>
      <c r="B24" s="1" t="str">
        <f t="shared" si="1"/>
        <v>Public Administration</v>
      </c>
      <c r="C24" s="1">
        <v>10</v>
      </c>
    </row>
    <row r="25" spans="1:3" x14ac:dyDescent="0.25">
      <c r="A25" s="1" t="s">
        <v>4</v>
      </c>
      <c r="B25" s="1" t="str">
        <f t="shared" si="1"/>
        <v>Accommodation &amp; Food Services</v>
      </c>
      <c r="C25" s="1">
        <v>9</v>
      </c>
    </row>
    <row r="26" spans="1:3" x14ac:dyDescent="0.25">
      <c r="A26" s="1" t="s">
        <v>2</v>
      </c>
      <c r="B26" s="1" t="str">
        <f t="shared" si="1"/>
        <v>Health Care &amp; Social Assistance</v>
      </c>
      <c r="C26" s="1">
        <v>8</v>
      </c>
    </row>
    <row r="27" spans="1:3" x14ac:dyDescent="0.25">
      <c r="A27" s="1" t="s">
        <v>12</v>
      </c>
      <c r="B27" s="1" t="str">
        <f t="shared" si="1"/>
        <v>Educational Services</v>
      </c>
      <c r="C27" s="1">
        <v>7</v>
      </c>
    </row>
    <row r="28" spans="1:3" x14ac:dyDescent="0.25">
      <c r="A28" s="1" t="s">
        <v>9</v>
      </c>
      <c r="B28" s="1" t="str">
        <f t="shared" si="1"/>
        <v>Management of Companies &amp; Support Services</v>
      </c>
      <c r="C28" s="1">
        <v>6</v>
      </c>
    </row>
    <row r="29" spans="1:3" x14ac:dyDescent="0.25">
      <c r="A29" s="1" t="s">
        <v>6</v>
      </c>
      <c r="B29" s="1" t="str">
        <f t="shared" si="1"/>
        <v>Wholesale Trade</v>
      </c>
      <c r="C29" s="1">
        <v>5</v>
      </c>
    </row>
    <row r="30" spans="1:3" x14ac:dyDescent="0.25">
      <c r="A30" s="1" t="s">
        <v>11</v>
      </c>
      <c r="B30" s="1" t="str">
        <f t="shared" si="1"/>
        <v>Finance &amp; Insurance</v>
      </c>
      <c r="C30" s="1">
        <v>4</v>
      </c>
    </row>
    <row r="31" spans="1:3" x14ac:dyDescent="0.25">
      <c r="A31" s="1" t="s">
        <v>8</v>
      </c>
      <c r="B31" s="1" t="str">
        <f t="shared" si="1"/>
        <v>Retail Trade</v>
      </c>
      <c r="C31" s="1">
        <v>3</v>
      </c>
    </row>
    <row r="32" spans="1:3" x14ac:dyDescent="0.25">
      <c r="A32" s="1" t="s">
        <v>5</v>
      </c>
      <c r="B32" s="1" t="str">
        <f t="shared" si="1"/>
        <v>Transportation &amp; Warehousing</v>
      </c>
      <c r="C32" s="1">
        <v>2</v>
      </c>
    </row>
    <row r="33" spans="1:3" x14ac:dyDescent="0.25">
      <c r="A33" s="1" t="s">
        <v>20</v>
      </c>
      <c r="B33" s="1" t="str">
        <f t="shared" si="1"/>
        <v>Construction</v>
      </c>
      <c r="C33" s="1">
        <v>1</v>
      </c>
    </row>
    <row r="34" spans="1:3" x14ac:dyDescent="0.25">
      <c r="A34" s="1" t="s">
        <v>16</v>
      </c>
      <c r="B34" s="1" t="str">
        <f t="shared" si="1"/>
        <v>Mining</v>
      </c>
      <c r="C34" s="1">
        <v>-5</v>
      </c>
    </row>
    <row r="35" spans="1:3" x14ac:dyDescent="0.25">
      <c r="A35" s="1" t="s">
        <v>13</v>
      </c>
      <c r="B35" s="1" t="str">
        <f t="shared" si="1"/>
        <v>Agriculture, Forestry, Fishing &amp; Hunting</v>
      </c>
      <c r="C35" s="1">
        <v>-4</v>
      </c>
    </row>
    <row r="36" spans="1:3" x14ac:dyDescent="0.25">
      <c r="A36" s="1" t="s">
        <v>14</v>
      </c>
      <c r="B36" s="1" t="str">
        <f t="shared" si="1"/>
        <v>Real Estate, Rental &amp; Leasing</v>
      </c>
      <c r="C36" s="1">
        <v>-3</v>
      </c>
    </row>
    <row r="37" spans="1:3" x14ac:dyDescent="0.25">
      <c r="A37" s="1" t="s">
        <v>17</v>
      </c>
      <c r="B37" s="1" t="str">
        <f t="shared" si="1"/>
        <v>Information</v>
      </c>
      <c r="C37" s="1">
        <v>-2</v>
      </c>
    </row>
    <row r="38" spans="1:3" x14ac:dyDescent="0.25">
      <c r="A38" s="1" t="s">
        <v>15</v>
      </c>
      <c r="B38" s="1" t="str">
        <f t="shared" si="1"/>
        <v>Professional, Scientific &amp; Technical Services</v>
      </c>
      <c r="C38" s="1">
        <v>-1</v>
      </c>
    </row>
    <row r="40" spans="1:3" x14ac:dyDescent="0.25">
      <c r="A40" s="39" t="s">
        <v>21</v>
      </c>
      <c r="B40" s="39"/>
      <c r="C40" s="39"/>
    </row>
    <row r="41" spans="1:3" x14ac:dyDescent="0.25">
      <c r="A41" s="1" t="s">
        <v>1</v>
      </c>
      <c r="B41" s="1" t="str">
        <f t="shared" ref="B41:B57" si="2">TRIM(A41)</f>
        <v>Arts, Entertainment &amp; Recreation</v>
      </c>
      <c r="C41" s="1">
        <v>8</v>
      </c>
    </row>
    <row r="42" spans="1:3" x14ac:dyDescent="0.25">
      <c r="A42" s="1" t="s">
        <v>13</v>
      </c>
      <c r="B42" s="1" t="str">
        <f t="shared" si="2"/>
        <v>Agriculture, Forestry, Fishing &amp; Hunting</v>
      </c>
      <c r="C42" s="1">
        <v>7</v>
      </c>
    </row>
    <row r="43" spans="1:3" x14ac:dyDescent="0.25">
      <c r="A43" s="1" t="s">
        <v>4</v>
      </c>
      <c r="B43" s="1" t="str">
        <f t="shared" si="2"/>
        <v>Accommodation &amp; Food Services</v>
      </c>
      <c r="C43" s="1">
        <v>6</v>
      </c>
    </row>
    <row r="44" spans="1:3" x14ac:dyDescent="0.25">
      <c r="A44" s="1" t="s">
        <v>6</v>
      </c>
      <c r="B44" s="1" t="str">
        <f t="shared" si="2"/>
        <v>Wholesale Trade</v>
      </c>
      <c r="C44" s="1">
        <v>5</v>
      </c>
    </row>
    <row r="45" spans="1:3" x14ac:dyDescent="0.25">
      <c r="A45" s="1" t="s">
        <v>2</v>
      </c>
      <c r="B45" s="1" t="str">
        <f t="shared" si="2"/>
        <v>Health Care &amp; Social Assistance</v>
      </c>
      <c r="C45" s="1">
        <v>4</v>
      </c>
    </row>
    <row r="46" spans="1:3" x14ac:dyDescent="0.25">
      <c r="A46" s="1" t="s">
        <v>5</v>
      </c>
      <c r="B46" s="1" t="str">
        <f t="shared" si="2"/>
        <v>Transportation &amp; Warehousing</v>
      </c>
      <c r="C46" s="1">
        <v>3</v>
      </c>
    </row>
    <row r="47" spans="1:3" x14ac:dyDescent="0.25">
      <c r="A47" s="1" t="s">
        <v>3</v>
      </c>
      <c r="B47" s="1" t="str">
        <f t="shared" si="2"/>
        <v>Utilities</v>
      </c>
      <c r="C47" s="1">
        <v>2</v>
      </c>
    </row>
    <row r="48" spans="1:3" x14ac:dyDescent="0.25">
      <c r="A48" s="1" t="s">
        <v>15</v>
      </c>
      <c r="B48" s="1" t="str">
        <f t="shared" si="2"/>
        <v>Professional, Scientific &amp; Technical Services</v>
      </c>
      <c r="C48" s="1">
        <v>1</v>
      </c>
    </row>
    <row r="49" spans="1:3" x14ac:dyDescent="0.25">
      <c r="A49" s="1" t="s">
        <v>16</v>
      </c>
      <c r="B49" s="1" t="str">
        <f t="shared" si="2"/>
        <v>Mining</v>
      </c>
      <c r="C49" s="1">
        <v>-9</v>
      </c>
    </row>
    <row r="50" spans="1:3" x14ac:dyDescent="0.25">
      <c r="A50" s="1" t="s">
        <v>12</v>
      </c>
      <c r="B50" s="1" t="str">
        <f t="shared" si="2"/>
        <v>Educational Services</v>
      </c>
      <c r="C50" s="1">
        <v>-8</v>
      </c>
    </row>
    <row r="51" spans="1:3" x14ac:dyDescent="0.25">
      <c r="A51" s="1" t="s">
        <v>22</v>
      </c>
      <c r="B51" s="1" t="str">
        <f t="shared" si="2"/>
        <v>Other Services</v>
      </c>
      <c r="C51" s="1">
        <v>-7</v>
      </c>
    </row>
    <row r="52" spans="1:3" x14ac:dyDescent="0.25">
      <c r="A52" s="1" t="s">
        <v>17</v>
      </c>
      <c r="B52" s="1" t="str">
        <f t="shared" si="2"/>
        <v>Information</v>
      </c>
      <c r="C52" s="1">
        <v>-6</v>
      </c>
    </row>
    <row r="53" spans="1:3" x14ac:dyDescent="0.25">
      <c r="A53" s="1" t="s">
        <v>14</v>
      </c>
      <c r="B53" s="1" t="str">
        <f t="shared" si="2"/>
        <v>Real Estate, Rental &amp; Leasing</v>
      </c>
      <c r="C53" s="1">
        <v>-5</v>
      </c>
    </row>
    <row r="54" spans="1:3" x14ac:dyDescent="0.25">
      <c r="A54" s="1" t="s">
        <v>10</v>
      </c>
      <c r="B54" s="1" t="str">
        <f t="shared" si="2"/>
        <v>Public Administration</v>
      </c>
      <c r="C54" s="1">
        <v>-4</v>
      </c>
    </row>
    <row r="55" spans="1:3" x14ac:dyDescent="0.25">
      <c r="A55" s="1" t="s">
        <v>9</v>
      </c>
      <c r="B55" s="1" t="str">
        <f t="shared" si="2"/>
        <v>Management of Companies &amp; Support Services</v>
      </c>
      <c r="C55" s="1">
        <v>-3</v>
      </c>
    </row>
    <row r="56" spans="1:3" x14ac:dyDescent="0.25">
      <c r="A56" s="1" t="s">
        <v>8</v>
      </c>
      <c r="B56" s="1" t="str">
        <f t="shared" si="2"/>
        <v>Retail Trade</v>
      </c>
      <c r="C56" s="1">
        <v>-2</v>
      </c>
    </row>
    <row r="57" spans="1:3" x14ac:dyDescent="0.25">
      <c r="A57" s="1" t="s">
        <v>23</v>
      </c>
      <c r="B57" s="1" t="str">
        <f t="shared" si="2"/>
        <v>Finance &amp; Insurance</v>
      </c>
      <c r="C57" s="1">
        <v>-1</v>
      </c>
    </row>
    <row r="59" spans="1:3" x14ac:dyDescent="0.25">
      <c r="A59" s="39" t="s">
        <v>24</v>
      </c>
      <c r="B59" s="39"/>
      <c r="C59" s="39"/>
    </row>
    <row r="60" spans="1:3" x14ac:dyDescent="0.25">
      <c r="A60" s="1" t="s">
        <v>25</v>
      </c>
      <c r="B60" s="1" t="str">
        <f t="shared" ref="B60:B75" si="3">TRIM(A60)</f>
        <v>Retail Trade</v>
      </c>
      <c r="C60" s="1">
        <v>-16</v>
      </c>
    </row>
    <row r="61" spans="1:3" x14ac:dyDescent="0.25">
      <c r="A61" s="1" t="s">
        <v>13</v>
      </c>
      <c r="B61" s="1" t="str">
        <f t="shared" si="3"/>
        <v>Agriculture, Forestry, Fishing &amp; Hunting</v>
      </c>
      <c r="C61" s="1">
        <v>-15</v>
      </c>
    </row>
    <row r="62" spans="1:3" x14ac:dyDescent="0.25">
      <c r="A62" s="1" t="s">
        <v>7</v>
      </c>
      <c r="B62" s="1" t="str">
        <f t="shared" si="3"/>
        <v>Construction</v>
      </c>
      <c r="C62" s="1">
        <v>-14</v>
      </c>
    </row>
    <row r="63" spans="1:3" x14ac:dyDescent="0.25">
      <c r="A63" s="1" t="s">
        <v>5</v>
      </c>
      <c r="B63" s="1" t="str">
        <f t="shared" si="3"/>
        <v>Transportation &amp; Warehousing</v>
      </c>
      <c r="C63" s="1">
        <v>-13</v>
      </c>
    </row>
    <row r="64" spans="1:3" x14ac:dyDescent="0.25">
      <c r="A64" s="1" t="s">
        <v>2</v>
      </c>
      <c r="B64" s="1" t="str">
        <f t="shared" si="3"/>
        <v>Health Care &amp; Social Assistance</v>
      </c>
      <c r="C64" s="1">
        <v>-12</v>
      </c>
    </row>
    <row r="65" spans="1:3" x14ac:dyDescent="0.25">
      <c r="A65" s="1" t="s">
        <v>22</v>
      </c>
      <c r="B65" s="1" t="str">
        <f t="shared" si="3"/>
        <v>Other Services</v>
      </c>
      <c r="C65" s="1">
        <v>-11</v>
      </c>
    </row>
    <row r="66" spans="1:3" x14ac:dyDescent="0.25">
      <c r="A66" s="1" t="s">
        <v>4</v>
      </c>
      <c r="B66" s="1" t="str">
        <f t="shared" si="3"/>
        <v>Accommodation &amp; Food Services</v>
      </c>
      <c r="C66" s="1">
        <v>-10</v>
      </c>
    </row>
    <row r="67" spans="1:3" x14ac:dyDescent="0.25">
      <c r="A67" s="1" t="s">
        <v>14</v>
      </c>
      <c r="B67" s="1" t="str">
        <f t="shared" si="3"/>
        <v>Real Estate, Rental &amp; Leasing</v>
      </c>
      <c r="C67" s="1">
        <v>-9</v>
      </c>
    </row>
    <row r="68" spans="1:3" x14ac:dyDescent="0.25">
      <c r="A68" s="1" t="s">
        <v>12</v>
      </c>
      <c r="B68" s="1" t="str">
        <f t="shared" si="3"/>
        <v>Educational Services</v>
      </c>
      <c r="C68" s="1">
        <v>-8</v>
      </c>
    </row>
    <row r="69" spans="1:3" x14ac:dyDescent="0.25">
      <c r="A69" s="1" t="s">
        <v>17</v>
      </c>
      <c r="B69" s="1" t="str">
        <f t="shared" si="3"/>
        <v>Information</v>
      </c>
      <c r="C69" s="1">
        <v>-7</v>
      </c>
    </row>
    <row r="70" spans="1:3" x14ac:dyDescent="0.25">
      <c r="A70" s="1" t="s">
        <v>10</v>
      </c>
      <c r="B70" s="1" t="str">
        <f t="shared" si="3"/>
        <v>Public Administration</v>
      </c>
      <c r="C70" s="1">
        <v>-6</v>
      </c>
    </row>
    <row r="71" spans="1:3" x14ac:dyDescent="0.25">
      <c r="A71" s="1" t="s">
        <v>9</v>
      </c>
      <c r="B71" s="1" t="str">
        <f t="shared" si="3"/>
        <v>Management of Companies &amp; Support Services</v>
      </c>
      <c r="C71" s="1">
        <v>-5</v>
      </c>
    </row>
    <row r="72" spans="1:3" x14ac:dyDescent="0.25">
      <c r="A72" s="1" t="s">
        <v>6</v>
      </c>
      <c r="B72" s="1" t="str">
        <f t="shared" si="3"/>
        <v>Wholesale Trade</v>
      </c>
      <c r="C72" s="1">
        <v>-4</v>
      </c>
    </row>
    <row r="73" spans="1:3" x14ac:dyDescent="0.25">
      <c r="A73" s="1" t="s">
        <v>11</v>
      </c>
      <c r="B73" s="1" t="str">
        <f t="shared" si="3"/>
        <v>Finance &amp; Insurance</v>
      </c>
      <c r="C73" s="1">
        <v>-3</v>
      </c>
    </row>
    <row r="74" spans="1:3" x14ac:dyDescent="0.25">
      <c r="A74" s="1" t="s">
        <v>3</v>
      </c>
      <c r="B74" s="1" t="str">
        <f t="shared" si="3"/>
        <v>Utilities</v>
      </c>
      <c r="C74" s="1">
        <v>-2</v>
      </c>
    </row>
    <row r="75" spans="1:3" x14ac:dyDescent="0.25">
      <c r="A75" s="1" t="s">
        <v>15</v>
      </c>
      <c r="B75" s="1" t="str">
        <f t="shared" si="3"/>
        <v>Professional, Scientific &amp; Technical Services</v>
      </c>
      <c r="C75" s="1">
        <v>-1</v>
      </c>
    </row>
    <row r="77" spans="1:3" x14ac:dyDescent="0.25">
      <c r="A77" s="39" t="s">
        <v>26</v>
      </c>
      <c r="B77" s="39"/>
      <c r="C77" s="39"/>
    </row>
    <row r="78" spans="1:3" x14ac:dyDescent="0.25">
      <c r="A78" s="1" t="s">
        <v>27</v>
      </c>
      <c r="B78" s="1" t="str">
        <f t="shared" ref="B78:B87" si="4">TRIM(A78)</f>
        <v>Educational Services</v>
      </c>
      <c r="C78" s="1">
        <v>6</v>
      </c>
    </row>
    <row r="79" spans="1:3" x14ac:dyDescent="0.25">
      <c r="A79" s="1" t="s">
        <v>11</v>
      </c>
      <c r="B79" s="1" t="str">
        <f t="shared" si="4"/>
        <v>Finance &amp; Insurance</v>
      </c>
      <c r="C79" s="1">
        <v>5</v>
      </c>
    </row>
    <row r="80" spans="1:3" x14ac:dyDescent="0.25">
      <c r="A80" s="1" t="s">
        <v>2</v>
      </c>
      <c r="B80" s="1" t="str">
        <f t="shared" si="4"/>
        <v>Health Care &amp; Social Assistance</v>
      </c>
      <c r="C80" s="1">
        <v>4</v>
      </c>
    </row>
    <row r="81" spans="1:3" x14ac:dyDescent="0.25">
      <c r="A81" s="1" t="s">
        <v>8</v>
      </c>
      <c r="B81" s="1" t="str">
        <f t="shared" si="4"/>
        <v>Retail Trade</v>
      </c>
      <c r="C81" s="1">
        <v>3</v>
      </c>
    </row>
    <row r="82" spans="1:3" x14ac:dyDescent="0.25">
      <c r="A82" s="1" t="s">
        <v>3</v>
      </c>
      <c r="B82" s="1" t="str">
        <f t="shared" si="4"/>
        <v>Utilities</v>
      </c>
      <c r="C82" s="1">
        <v>2</v>
      </c>
    </row>
    <row r="83" spans="1:3" x14ac:dyDescent="0.25">
      <c r="A83" s="1" t="s">
        <v>28</v>
      </c>
      <c r="B83" s="1" t="str">
        <f t="shared" si="4"/>
        <v>Information</v>
      </c>
      <c r="C83" s="1">
        <v>1</v>
      </c>
    </row>
    <row r="84" spans="1:3" x14ac:dyDescent="0.25">
      <c r="A84" s="1" t="s">
        <v>29</v>
      </c>
      <c r="B84" s="1" t="str">
        <f t="shared" si="4"/>
        <v>Real Estate, Rental &amp; Leasing</v>
      </c>
      <c r="C84" s="1">
        <v>-4</v>
      </c>
    </row>
    <row r="85" spans="1:3" x14ac:dyDescent="0.25">
      <c r="A85" s="1" t="s">
        <v>4</v>
      </c>
      <c r="B85" s="1" t="str">
        <f t="shared" si="4"/>
        <v>Accommodation &amp; Food Services</v>
      </c>
      <c r="C85" s="1">
        <v>-3</v>
      </c>
    </row>
    <row r="86" spans="1:3" x14ac:dyDescent="0.25">
      <c r="A86" s="1" t="s">
        <v>6</v>
      </c>
      <c r="B86" s="1" t="str">
        <f t="shared" si="4"/>
        <v>Wholesale Trade</v>
      </c>
      <c r="C86" s="1">
        <v>-2</v>
      </c>
    </row>
    <row r="87" spans="1:3" x14ac:dyDescent="0.25">
      <c r="A87" s="1" t="s">
        <v>20</v>
      </c>
      <c r="B87" s="1" t="str">
        <f t="shared" si="4"/>
        <v>Construction</v>
      </c>
      <c r="C87" s="1">
        <v>-1</v>
      </c>
    </row>
    <row r="89" spans="1:3" x14ac:dyDescent="0.25">
      <c r="A89" s="39" t="s">
        <v>30</v>
      </c>
      <c r="B89" s="39"/>
      <c r="C89" s="39"/>
    </row>
    <row r="90" spans="1:3" x14ac:dyDescent="0.25">
      <c r="A90" s="1" t="s">
        <v>31</v>
      </c>
      <c r="B90" s="1" t="str">
        <f t="shared" ref="B90:B106" si="5">TRIM(A90)</f>
        <v>Accommodation &amp; Food Services</v>
      </c>
      <c r="C90" s="1">
        <v>14</v>
      </c>
    </row>
    <row r="91" spans="1:3" x14ac:dyDescent="0.25">
      <c r="A91" s="1" t="s">
        <v>14</v>
      </c>
      <c r="B91" s="1" t="str">
        <f t="shared" si="5"/>
        <v>Real Estate, Rental &amp; Leasing</v>
      </c>
      <c r="C91" s="1">
        <v>13</v>
      </c>
    </row>
    <row r="92" spans="1:3" x14ac:dyDescent="0.25">
      <c r="A92" s="1" t="s">
        <v>6</v>
      </c>
      <c r="B92" s="1" t="str">
        <f t="shared" si="5"/>
        <v>Wholesale Trade</v>
      </c>
      <c r="C92" s="1">
        <v>12</v>
      </c>
    </row>
    <row r="93" spans="1:3" x14ac:dyDescent="0.25">
      <c r="A93" s="1" t="s">
        <v>13</v>
      </c>
      <c r="B93" s="1" t="str">
        <f t="shared" si="5"/>
        <v>Agriculture, Forestry, Fishing &amp; Hunting</v>
      </c>
      <c r="C93" s="1">
        <v>11</v>
      </c>
    </row>
    <row r="94" spans="1:3" x14ac:dyDescent="0.25">
      <c r="A94" s="1" t="s">
        <v>2</v>
      </c>
      <c r="B94" s="1" t="str">
        <f t="shared" si="5"/>
        <v>Health Care &amp; Social Assistance</v>
      </c>
      <c r="C94" s="1">
        <v>10</v>
      </c>
    </row>
    <row r="95" spans="1:3" x14ac:dyDescent="0.25">
      <c r="A95" s="1" t="s">
        <v>12</v>
      </c>
      <c r="B95" s="1" t="str">
        <f t="shared" si="5"/>
        <v>Educational Services</v>
      </c>
      <c r="C95" s="1">
        <v>9</v>
      </c>
    </row>
    <row r="96" spans="1:3" x14ac:dyDescent="0.25">
      <c r="A96" s="1" t="s">
        <v>32</v>
      </c>
      <c r="B96" s="1" t="str">
        <f t="shared" si="5"/>
        <v>Professional, Scientific &amp; Technical Services</v>
      </c>
      <c r="C96" s="1">
        <v>8</v>
      </c>
    </row>
    <row r="97" spans="1:3" x14ac:dyDescent="0.25">
      <c r="A97" s="1" t="s">
        <v>9</v>
      </c>
      <c r="B97" s="1" t="str">
        <f t="shared" si="5"/>
        <v>Management of Companies &amp; Support Services</v>
      </c>
      <c r="C97" s="1">
        <v>7</v>
      </c>
    </row>
    <row r="98" spans="1:3" x14ac:dyDescent="0.25">
      <c r="A98" s="1" t="s">
        <v>5</v>
      </c>
      <c r="B98" s="1" t="str">
        <f t="shared" si="5"/>
        <v>Transportation &amp; Warehousing</v>
      </c>
      <c r="C98" s="1">
        <v>6</v>
      </c>
    </row>
    <row r="99" spans="1:3" x14ac:dyDescent="0.25">
      <c r="A99" s="1" t="s">
        <v>33</v>
      </c>
      <c r="B99" s="1" t="str">
        <f t="shared" si="5"/>
        <v>Mining</v>
      </c>
      <c r="C99" s="1">
        <v>5</v>
      </c>
    </row>
    <row r="100" spans="1:3" x14ac:dyDescent="0.25">
      <c r="A100" s="1" t="s">
        <v>3</v>
      </c>
      <c r="B100" s="1" t="str">
        <f t="shared" si="5"/>
        <v>Utilities</v>
      </c>
      <c r="C100" s="1">
        <v>4</v>
      </c>
    </row>
    <row r="101" spans="1:3" x14ac:dyDescent="0.25">
      <c r="A101" s="1" t="s">
        <v>11</v>
      </c>
      <c r="B101" s="1" t="str">
        <f t="shared" si="5"/>
        <v>Finance &amp; Insurance</v>
      </c>
      <c r="C101" s="1">
        <v>3</v>
      </c>
    </row>
    <row r="102" spans="1:3" x14ac:dyDescent="0.25">
      <c r="A102" s="1" t="s">
        <v>7</v>
      </c>
      <c r="B102" s="1" t="str">
        <f t="shared" si="5"/>
        <v>Construction</v>
      </c>
      <c r="C102" s="1">
        <v>2</v>
      </c>
    </row>
    <row r="103" spans="1:3" x14ac:dyDescent="0.25">
      <c r="A103" s="1" t="s">
        <v>34</v>
      </c>
      <c r="B103" s="1" t="str">
        <f t="shared" si="5"/>
        <v>Public Administration</v>
      </c>
      <c r="C103" s="1">
        <v>1</v>
      </c>
    </row>
    <row r="104" spans="1:3" x14ac:dyDescent="0.25">
      <c r="A104" s="1" t="s">
        <v>28</v>
      </c>
      <c r="B104" s="1" t="str">
        <f t="shared" si="5"/>
        <v>Information</v>
      </c>
      <c r="C104" s="1">
        <v>-3</v>
      </c>
    </row>
    <row r="105" spans="1:3" x14ac:dyDescent="0.25">
      <c r="A105" s="1" t="s">
        <v>8</v>
      </c>
      <c r="B105" s="1" t="str">
        <f t="shared" si="5"/>
        <v>Retail Trade</v>
      </c>
      <c r="C105" s="1">
        <v>-2</v>
      </c>
    </row>
    <row r="106" spans="1:3" x14ac:dyDescent="0.25">
      <c r="A106" s="1" t="s">
        <v>18</v>
      </c>
      <c r="B106" s="1" t="str">
        <f t="shared" si="5"/>
        <v>Other Services</v>
      </c>
      <c r="C106" s="1">
        <v>-1</v>
      </c>
    </row>
    <row r="108" spans="1:3" x14ac:dyDescent="0.25">
      <c r="A108" s="39" t="s">
        <v>3818</v>
      </c>
      <c r="B108" s="39"/>
      <c r="C108" s="39"/>
    </row>
    <row r="109" spans="1:3" x14ac:dyDescent="0.25">
      <c r="A109" s="2" t="s">
        <v>49</v>
      </c>
      <c r="B109" s="1" t="str">
        <f t="shared" ref="B109:B124" si="6">TRIM(A109)</f>
        <v> Arts, Entertainment &amp; Recreation</v>
      </c>
      <c r="C109" s="2">
        <v>13</v>
      </c>
    </row>
    <row r="110" spans="1:3" x14ac:dyDescent="0.25">
      <c r="A110" s="2" t="s">
        <v>3</v>
      </c>
      <c r="B110" s="1" t="str">
        <f t="shared" si="6"/>
        <v>Utilities</v>
      </c>
      <c r="C110" s="2">
        <v>12</v>
      </c>
    </row>
    <row r="111" spans="1:3" x14ac:dyDescent="0.25">
      <c r="A111" s="2" t="s">
        <v>9</v>
      </c>
      <c r="B111" s="1" t="str">
        <f t="shared" si="6"/>
        <v>Management of Companies &amp; Support Services</v>
      </c>
      <c r="C111" s="2">
        <v>11</v>
      </c>
    </row>
    <row r="112" spans="1:3" x14ac:dyDescent="0.25">
      <c r="A112" s="2" t="s">
        <v>14</v>
      </c>
      <c r="B112" s="1" t="str">
        <f t="shared" si="6"/>
        <v>Real Estate, Rental &amp; Leasing</v>
      </c>
      <c r="C112" s="2">
        <v>10</v>
      </c>
    </row>
    <row r="113" spans="1:3" x14ac:dyDescent="0.25">
      <c r="A113" s="2" t="s">
        <v>2</v>
      </c>
      <c r="B113" s="1" t="str">
        <f t="shared" si="6"/>
        <v>Health Care &amp; Social Assistance</v>
      </c>
      <c r="C113" s="2">
        <v>9</v>
      </c>
    </row>
    <row r="114" spans="1:3" x14ac:dyDescent="0.25">
      <c r="A114" s="2" t="s">
        <v>6</v>
      </c>
      <c r="B114" s="1" t="str">
        <f t="shared" si="6"/>
        <v>Wholesale Trade</v>
      </c>
      <c r="C114" s="2">
        <v>8</v>
      </c>
    </row>
    <row r="115" spans="1:3" x14ac:dyDescent="0.25">
      <c r="A115" s="2" t="s">
        <v>10</v>
      </c>
      <c r="B115" s="1" t="str">
        <f t="shared" si="6"/>
        <v>Public Administration</v>
      </c>
      <c r="C115" s="2">
        <v>7</v>
      </c>
    </row>
    <row r="116" spans="1:3" x14ac:dyDescent="0.25">
      <c r="A116" s="2" t="s">
        <v>7</v>
      </c>
      <c r="B116" s="1" t="str">
        <f t="shared" si="6"/>
        <v>Construction</v>
      </c>
      <c r="C116" s="2">
        <v>6</v>
      </c>
    </row>
    <row r="117" spans="1:3" x14ac:dyDescent="0.25">
      <c r="A117" s="2" t="s">
        <v>5</v>
      </c>
      <c r="B117" s="1" t="str">
        <f t="shared" si="6"/>
        <v>Transportation &amp; Warehousing</v>
      </c>
      <c r="C117" s="2">
        <v>5</v>
      </c>
    </row>
    <row r="118" spans="1:3" x14ac:dyDescent="0.25">
      <c r="A118" s="2" t="s">
        <v>11</v>
      </c>
      <c r="B118" s="1" t="str">
        <f t="shared" si="6"/>
        <v>Finance &amp; Insurance</v>
      </c>
      <c r="C118" s="2">
        <v>4</v>
      </c>
    </row>
    <row r="119" spans="1:3" x14ac:dyDescent="0.25">
      <c r="A119" s="2" t="s">
        <v>12</v>
      </c>
      <c r="B119" s="1" t="str">
        <f t="shared" si="6"/>
        <v>Educational Services</v>
      </c>
      <c r="C119" s="2">
        <v>3</v>
      </c>
    </row>
    <row r="120" spans="1:3" x14ac:dyDescent="0.25">
      <c r="A120" s="2" t="s">
        <v>4</v>
      </c>
      <c r="B120" s="1" t="str">
        <f t="shared" si="6"/>
        <v>Accommodation &amp; Food Services</v>
      </c>
      <c r="C120" s="2">
        <v>2</v>
      </c>
    </row>
    <row r="121" spans="1:3" x14ac:dyDescent="0.25">
      <c r="A121" s="2" t="s">
        <v>25</v>
      </c>
      <c r="B121" s="1" t="str">
        <f t="shared" si="6"/>
        <v>Retail Trade</v>
      </c>
      <c r="C121" s="2">
        <v>1</v>
      </c>
    </row>
    <row r="122" spans="1:3" x14ac:dyDescent="0.25">
      <c r="A122" s="2" t="s">
        <v>35</v>
      </c>
      <c r="B122" s="1" t="str">
        <f t="shared" si="6"/>
        <v>Agriculture, Forestry, Fishing &amp; Hunting</v>
      </c>
      <c r="C122" s="2">
        <v>-3</v>
      </c>
    </row>
    <row r="123" spans="1:3" x14ac:dyDescent="0.25">
      <c r="A123" s="2" t="s">
        <v>17</v>
      </c>
      <c r="B123" s="1" t="str">
        <f t="shared" si="6"/>
        <v>Information</v>
      </c>
      <c r="C123" s="2">
        <v>-2</v>
      </c>
    </row>
    <row r="124" spans="1:3" x14ac:dyDescent="0.25">
      <c r="A124" s="2" t="s">
        <v>16</v>
      </c>
      <c r="B124" s="1" t="str">
        <f t="shared" si="6"/>
        <v>Mining</v>
      </c>
      <c r="C124" s="2">
        <v>-1</v>
      </c>
    </row>
  </sheetData>
  <mergeCells count="7">
    <mergeCell ref="A108:C108"/>
    <mergeCell ref="A89:C89"/>
    <mergeCell ref="A1:C1"/>
    <mergeCell ref="A21:C21"/>
    <mergeCell ref="A40:C40"/>
    <mergeCell ref="A59:C59"/>
    <mergeCell ref="A77:C77"/>
  </mergeCells>
  <pageMargins left="0.7" right="0.7" top="0.75" bottom="0.75" header="0.51180555555555496" footer="0.51180555555555496"/>
  <pageSetup paperSize="9" firstPageNumber="0"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122"/>
  <sheetViews>
    <sheetView zoomScaleNormal="100" workbookViewId="0">
      <selection activeCell="F12" sqref="F12"/>
    </sheetView>
  </sheetViews>
  <sheetFormatPr defaultRowHeight="15" x14ac:dyDescent="0.25"/>
  <cols>
    <col min="1" max="1" width="51.7109375" customWidth="1"/>
    <col min="2" max="2" width="51.42578125" customWidth="1"/>
    <col min="3" max="7" width="8.7109375" customWidth="1"/>
    <col min="9" max="1025" width="8.7109375" customWidth="1"/>
  </cols>
  <sheetData>
    <row r="1" spans="1:7" x14ac:dyDescent="0.25">
      <c r="A1" s="39" t="s">
        <v>0</v>
      </c>
      <c r="B1" s="39"/>
      <c r="C1" s="39"/>
    </row>
    <row r="2" spans="1:7" x14ac:dyDescent="0.25">
      <c r="A2" s="1" t="s">
        <v>1</v>
      </c>
      <c r="B2" s="1" t="str">
        <f t="shared" ref="B2:B18" si="0">TRIM(A2)</f>
        <v>Arts, Entertainment &amp; Recreation</v>
      </c>
      <c r="C2" s="1">
        <v>16</v>
      </c>
    </row>
    <row r="3" spans="1:7" x14ac:dyDescent="0.25">
      <c r="A3" s="1" t="s">
        <v>3</v>
      </c>
      <c r="B3" s="1" t="str">
        <f t="shared" si="0"/>
        <v>Utilities</v>
      </c>
      <c r="C3" s="1">
        <v>15</v>
      </c>
      <c r="F3" t="s">
        <v>31</v>
      </c>
      <c r="G3" s="29" t="s">
        <v>4018</v>
      </c>
    </row>
    <row r="4" spans="1:7" x14ac:dyDescent="0.25">
      <c r="A4" s="1" t="s">
        <v>9</v>
      </c>
      <c r="B4" s="1" t="str">
        <f t="shared" si="0"/>
        <v>Management of Companies &amp; Support Services</v>
      </c>
      <c r="C4" s="1">
        <v>14</v>
      </c>
      <c r="F4" t="s">
        <v>20</v>
      </c>
      <c r="G4" s="29" t="s">
        <v>4019</v>
      </c>
    </row>
    <row r="5" spans="1:7" x14ac:dyDescent="0.25">
      <c r="A5" s="1" t="s">
        <v>5</v>
      </c>
      <c r="B5" s="1" t="str">
        <f t="shared" si="0"/>
        <v>Transportation &amp; Warehousing</v>
      </c>
      <c r="C5" s="1">
        <v>13</v>
      </c>
      <c r="F5" t="s">
        <v>27</v>
      </c>
      <c r="G5" s="29" t="s">
        <v>4020</v>
      </c>
    </row>
    <row r="6" spans="1:7" x14ac:dyDescent="0.25">
      <c r="A6" s="1" t="s">
        <v>2</v>
      </c>
      <c r="B6" s="1" t="str">
        <f t="shared" si="0"/>
        <v>Health Care &amp; Social Assistance</v>
      </c>
      <c r="C6" s="1">
        <v>12</v>
      </c>
      <c r="F6" t="s">
        <v>23</v>
      </c>
      <c r="G6" s="29" t="s">
        <v>4021</v>
      </c>
    </row>
    <row r="7" spans="1:7" x14ac:dyDescent="0.25">
      <c r="A7" s="1" t="s">
        <v>6</v>
      </c>
      <c r="B7" s="1" t="str">
        <f t="shared" si="0"/>
        <v>Wholesale Trade</v>
      </c>
      <c r="C7" s="1">
        <v>11</v>
      </c>
      <c r="F7" t="s">
        <v>43</v>
      </c>
      <c r="G7" s="29" t="s">
        <v>4022</v>
      </c>
    </row>
    <row r="8" spans="1:7" x14ac:dyDescent="0.25">
      <c r="A8" s="1" t="s">
        <v>14</v>
      </c>
      <c r="B8" s="1" t="str">
        <f t="shared" si="0"/>
        <v>Real Estate, Rental &amp; Leasing</v>
      </c>
      <c r="C8" s="1">
        <v>10</v>
      </c>
      <c r="F8" t="s">
        <v>28</v>
      </c>
      <c r="G8" s="29" t="s">
        <v>4023</v>
      </c>
    </row>
    <row r="9" spans="1:7" x14ac:dyDescent="0.25">
      <c r="A9" s="1" t="s">
        <v>4</v>
      </c>
      <c r="B9" s="1" t="str">
        <f t="shared" si="0"/>
        <v>Accommodation &amp; Food Services</v>
      </c>
      <c r="C9" s="1">
        <v>9</v>
      </c>
      <c r="F9" t="s">
        <v>41</v>
      </c>
      <c r="G9" s="29" t="s">
        <v>4024</v>
      </c>
    </row>
    <row r="10" spans="1:7" x14ac:dyDescent="0.25">
      <c r="A10" s="1" t="s">
        <v>7</v>
      </c>
      <c r="B10" s="1" t="str">
        <f t="shared" si="0"/>
        <v>Construction</v>
      </c>
      <c r="C10" s="1">
        <v>8</v>
      </c>
      <c r="F10" t="s">
        <v>15</v>
      </c>
      <c r="G10" s="29" t="s">
        <v>4025</v>
      </c>
    </row>
    <row r="11" spans="1:7" x14ac:dyDescent="0.25">
      <c r="A11" s="1" t="s">
        <v>10</v>
      </c>
      <c r="B11" s="1" t="str">
        <f t="shared" si="0"/>
        <v>Public Administration</v>
      </c>
      <c r="C11" s="1">
        <v>7</v>
      </c>
      <c r="F11" t="s">
        <v>25</v>
      </c>
      <c r="G11" s="29" t="s">
        <v>4026</v>
      </c>
    </row>
    <row r="12" spans="1:7" x14ac:dyDescent="0.25">
      <c r="A12" s="1" t="s">
        <v>12</v>
      </c>
      <c r="B12" s="1" t="str">
        <f t="shared" si="0"/>
        <v>Educational Services</v>
      </c>
      <c r="C12" s="1">
        <v>6</v>
      </c>
      <c r="F12" t="s">
        <v>36</v>
      </c>
      <c r="G12" s="29" t="s">
        <v>4027</v>
      </c>
    </row>
    <row r="13" spans="1:7" x14ac:dyDescent="0.25">
      <c r="A13" s="1" t="s">
        <v>13</v>
      </c>
      <c r="B13" s="1" t="str">
        <f t="shared" si="0"/>
        <v>Agriculture, Forestry, Fishing &amp; Hunting</v>
      </c>
      <c r="C13" s="1">
        <v>5</v>
      </c>
    </row>
    <row r="14" spans="1:7" x14ac:dyDescent="0.25">
      <c r="A14" s="1" t="s">
        <v>11</v>
      </c>
      <c r="B14" s="1" t="str">
        <f t="shared" si="0"/>
        <v>Finance &amp; Insurance</v>
      </c>
      <c r="C14" s="1">
        <v>4</v>
      </c>
    </row>
    <row r="15" spans="1:7" x14ac:dyDescent="0.25">
      <c r="A15" s="1" t="s">
        <v>8</v>
      </c>
      <c r="B15" s="1" t="str">
        <f t="shared" si="0"/>
        <v>Retail Trade</v>
      </c>
      <c r="C15" s="1">
        <v>3</v>
      </c>
    </row>
    <row r="16" spans="1:7" x14ac:dyDescent="0.25">
      <c r="A16" s="1" t="s">
        <v>17</v>
      </c>
      <c r="B16" s="1" t="str">
        <f t="shared" si="0"/>
        <v>Information</v>
      </c>
      <c r="C16" s="1">
        <v>2</v>
      </c>
    </row>
    <row r="17" spans="1:3" x14ac:dyDescent="0.25">
      <c r="A17" s="1" t="s">
        <v>18</v>
      </c>
      <c r="B17" s="1" t="str">
        <f t="shared" si="0"/>
        <v>Other Services</v>
      </c>
      <c r="C17" s="1">
        <v>1</v>
      </c>
    </row>
    <row r="18" spans="1:3" x14ac:dyDescent="0.25">
      <c r="A18" s="1" t="s">
        <v>15</v>
      </c>
      <c r="B18" s="1" t="str">
        <f t="shared" si="0"/>
        <v>Professional, Scientific &amp; Technical Services</v>
      </c>
      <c r="C18" s="2">
        <v>-1</v>
      </c>
    </row>
    <row r="19" spans="1:3" x14ac:dyDescent="0.25">
      <c r="A19" s="3"/>
      <c r="B19" s="3"/>
      <c r="C19" s="4"/>
    </row>
    <row r="20" spans="1:3" x14ac:dyDescent="0.25">
      <c r="A20" s="39" t="s">
        <v>19</v>
      </c>
      <c r="B20" s="39"/>
      <c r="C20" s="39"/>
    </row>
    <row r="21" spans="1:3" x14ac:dyDescent="0.25">
      <c r="A21" s="1" t="s">
        <v>1</v>
      </c>
      <c r="B21" s="1" t="str">
        <f t="shared" ref="B21:B36" si="1">TRIM(A21)</f>
        <v>Arts, Entertainment &amp; Recreation</v>
      </c>
      <c r="C21" s="1">
        <v>14</v>
      </c>
    </row>
    <row r="22" spans="1:3" x14ac:dyDescent="0.25">
      <c r="A22" s="1" t="s">
        <v>14</v>
      </c>
      <c r="B22" s="1" t="str">
        <f t="shared" si="1"/>
        <v>Real Estate, Rental &amp; Leasing</v>
      </c>
      <c r="C22" s="1">
        <v>13</v>
      </c>
    </row>
    <row r="23" spans="1:3" x14ac:dyDescent="0.25">
      <c r="A23" s="1" t="s">
        <v>3</v>
      </c>
      <c r="B23" s="1" t="str">
        <f t="shared" si="1"/>
        <v>Utilities</v>
      </c>
      <c r="C23" s="1">
        <v>12</v>
      </c>
    </row>
    <row r="24" spans="1:3" x14ac:dyDescent="0.25">
      <c r="A24" s="1" t="s">
        <v>2</v>
      </c>
      <c r="B24" s="1" t="str">
        <f t="shared" si="1"/>
        <v>Health Care &amp; Social Assistance</v>
      </c>
      <c r="C24" s="1">
        <v>11</v>
      </c>
    </row>
    <row r="25" spans="1:3" x14ac:dyDescent="0.25">
      <c r="A25" s="1" t="s">
        <v>6</v>
      </c>
      <c r="B25" s="1" t="str">
        <f t="shared" si="1"/>
        <v>Wholesale Trade</v>
      </c>
      <c r="C25" s="1">
        <v>10</v>
      </c>
    </row>
    <row r="26" spans="1:3" x14ac:dyDescent="0.25">
      <c r="A26" s="1" t="s">
        <v>12</v>
      </c>
      <c r="B26" s="1" t="str">
        <f t="shared" si="1"/>
        <v>Educational Services</v>
      </c>
      <c r="C26" s="1">
        <v>9</v>
      </c>
    </row>
    <row r="27" spans="1:3" x14ac:dyDescent="0.25">
      <c r="A27" s="1" t="s">
        <v>9</v>
      </c>
      <c r="B27" s="1" t="str">
        <f t="shared" si="1"/>
        <v>Management of Companies &amp; Support Services</v>
      </c>
      <c r="C27" s="1">
        <v>8</v>
      </c>
    </row>
    <row r="28" spans="1:3" x14ac:dyDescent="0.25">
      <c r="A28" s="1" t="s">
        <v>22</v>
      </c>
      <c r="B28" s="1" t="str">
        <f t="shared" si="1"/>
        <v>Other Services</v>
      </c>
      <c r="C28" s="1">
        <v>7</v>
      </c>
    </row>
    <row r="29" spans="1:3" x14ac:dyDescent="0.25">
      <c r="A29" s="1" t="s">
        <v>5</v>
      </c>
      <c r="B29" s="1" t="str">
        <f t="shared" si="1"/>
        <v>Transportation &amp; Warehousing</v>
      </c>
      <c r="C29" s="1">
        <v>6</v>
      </c>
    </row>
    <row r="30" spans="1:3" x14ac:dyDescent="0.25">
      <c r="A30" s="1" t="s">
        <v>4</v>
      </c>
      <c r="B30" s="1" t="str">
        <f t="shared" si="1"/>
        <v>Accommodation &amp; Food Services</v>
      </c>
      <c r="C30" s="1">
        <v>5</v>
      </c>
    </row>
    <row r="31" spans="1:3" x14ac:dyDescent="0.25">
      <c r="A31" s="1" t="s">
        <v>33</v>
      </c>
      <c r="B31" s="1" t="str">
        <f t="shared" si="1"/>
        <v>Mining</v>
      </c>
      <c r="C31" s="1">
        <v>4</v>
      </c>
    </row>
    <row r="32" spans="1:3" x14ac:dyDescent="0.25">
      <c r="A32" s="1" t="s">
        <v>10</v>
      </c>
      <c r="B32" s="1" t="str">
        <f t="shared" si="1"/>
        <v>Public Administration</v>
      </c>
      <c r="C32" s="1">
        <v>3</v>
      </c>
    </row>
    <row r="33" spans="1:3" x14ac:dyDescent="0.25">
      <c r="A33" s="1" t="s">
        <v>11</v>
      </c>
      <c r="B33" s="1" t="str">
        <f t="shared" si="1"/>
        <v>Finance &amp; Insurance</v>
      </c>
      <c r="C33" s="1">
        <v>2</v>
      </c>
    </row>
    <row r="34" spans="1:3" x14ac:dyDescent="0.25">
      <c r="A34" s="1" t="s">
        <v>28</v>
      </c>
      <c r="B34" s="1" t="str">
        <f t="shared" si="1"/>
        <v>Information</v>
      </c>
      <c r="C34" s="1">
        <v>1</v>
      </c>
    </row>
    <row r="35" spans="1:3" x14ac:dyDescent="0.25">
      <c r="A35" s="1" t="s">
        <v>35</v>
      </c>
      <c r="B35" s="1" t="str">
        <f t="shared" si="1"/>
        <v>Agriculture, Forestry, Fishing &amp; Hunting</v>
      </c>
      <c r="C35" s="1">
        <v>-2</v>
      </c>
    </row>
    <row r="36" spans="1:3" x14ac:dyDescent="0.25">
      <c r="A36" s="1" t="s">
        <v>25</v>
      </c>
      <c r="B36" s="1" t="str">
        <f t="shared" si="1"/>
        <v>Retail Trade</v>
      </c>
      <c r="C36" s="1">
        <v>-1</v>
      </c>
    </row>
    <row r="37" spans="1:3" x14ac:dyDescent="0.25">
      <c r="A37" s="5"/>
    </row>
    <row r="38" spans="1:3" x14ac:dyDescent="0.25">
      <c r="A38" s="39" t="s">
        <v>21</v>
      </c>
      <c r="B38" s="39"/>
      <c r="C38" s="39"/>
    </row>
    <row r="39" spans="1:3" x14ac:dyDescent="0.25">
      <c r="A39" s="1" t="s">
        <v>1</v>
      </c>
      <c r="B39" s="1" t="str">
        <f t="shared" ref="B39:B53" si="2">TRIM(A39)</f>
        <v>Arts, Entertainment &amp; Recreation</v>
      </c>
      <c r="C39" s="1">
        <v>9</v>
      </c>
    </row>
    <row r="40" spans="1:3" x14ac:dyDescent="0.25">
      <c r="A40" s="1" t="s">
        <v>5</v>
      </c>
      <c r="B40" s="1" t="str">
        <f t="shared" si="2"/>
        <v>Transportation &amp; Warehousing</v>
      </c>
      <c r="C40" s="1">
        <v>8</v>
      </c>
    </row>
    <row r="41" spans="1:3" x14ac:dyDescent="0.25">
      <c r="A41" s="1" t="s">
        <v>3</v>
      </c>
      <c r="B41" s="1" t="str">
        <f t="shared" si="2"/>
        <v>Utilities</v>
      </c>
      <c r="C41" s="1">
        <v>7</v>
      </c>
    </row>
    <row r="42" spans="1:3" x14ac:dyDescent="0.25">
      <c r="A42" s="1" t="s">
        <v>13</v>
      </c>
      <c r="B42" s="1" t="str">
        <f t="shared" si="2"/>
        <v>Agriculture, Forestry, Fishing &amp; Hunting</v>
      </c>
      <c r="C42" s="1">
        <v>6</v>
      </c>
    </row>
    <row r="43" spans="1:3" x14ac:dyDescent="0.25">
      <c r="A43" s="1" t="s">
        <v>6</v>
      </c>
      <c r="B43" s="1" t="str">
        <f t="shared" si="2"/>
        <v>Wholesale Trade</v>
      </c>
      <c r="C43" s="1">
        <v>5</v>
      </c>
    </row>
    <row r="44" spans="1:3" x14ac:dyDescent="0.25">
      <c r="A44" s="1" t="s">
        <v>2</v>
      </c>
      <c r="B44" s="1" t="str">
        <f t="shared" si="2"/>
        <v>Health Care &amp; Social Assistance</v>
      </c>
      <c r="C44" s="1">
        <v>4</v>
      </c>
    </row>
    <row r="45" spans="1:3" x14ac:dyDescent="0.25">
      <c r="A45" s="1" t="s">
        <v>9</v>
      </c>
      <c r="B45" s="1" t="str">
        <f t="shared" si="2"/>
        <v>Management of Companies &amp; Support Services</v>
      </c>
      <c r="C45" s="1">
        <v>3</v>
      </c>
    </row>
    <row r="46" spans="1:3" x14ac:dyDescent="0.25">
      <c r="A46" s="1" t="s">
        <v>10</v>
      </c>
      <c r="B46" s="1" t="str">
        <f t="shared" si="2"/>
        <v>Public Administration</v>
      </c>
      <c r="C46" s="1">
        <v>2</v>
      </c>
    </row>
    <row r="47" spans="1:3" x14ac:dyDescent="0.25">
      <c r="A47" s="1" t="s">
        <v>20</v>
      </c>
      <c r="B47" s="1" t="str">
        <f t="shared" si="2"/>
        <v>Construction</v>
      </c>
      <c r="C47" s="1">
        <v>1</v>
      </c>
    </row>
    <row r="48" spans="1:3" x14ac:dyDescent="0.25">
      <c r="A48" s="1" t="s">
        <v>16</v>
      </c>
      <c r="B48" s="1" t="str">
        <f t="shared" si="2"/>
        <v>Mining</v>
      </c>
      <c r="C48" s="1">
        <v>-6</v>
      </c>
    </row>
    <row r="49" spans="1:3" x14ac:dyDescent="0.25">
      <c r="A49" s="1" t="s">
        <v>12</v>
      </c>
      <c r="B49" s="1" t="str">
        <f t="shared" si="2"/>
        <v>Educational Services</v>
      </c>
      <c r="C49" s="1">
        <v>-5</v>
      </c>
    </row>
    <row r="50" spans="1:3" x14ac:dyDescent="0.25">
      <c r="A50" s="1" t="s">
        <v>17</v>
      </c>
      <c r="B50" s="1" t="str">
        <f t="shared" si="2"/>
        <v>Information</v>
      </c>
      <c r="C50" s="1">
        <v>-4</v>
      </c>
    </row>
    <row r="51" spans="1:3" x14ac:dyDescent="0.25">
      <c r="A51" s="1" t="s">
        <v>32</v>
      </c>
      <c r="B51" s="1" t="str">
        <f t="shared" si="2"/>
        <v>Professional, Scientific &amp; Technical Services</v>
      </c>
      <c r="C51" s="1">
        <v>-3</v>
      </c>
    </row>
    <row r="52" spans="1:3" x14ac:dyDescent="0.25">
      <c r="A52" s="1" t="s">
        <v>22</v>
      </c>
      <c r="B52" s="1" t="str">
        <f t="shared" si="2"/>
        <v>Other Services</v>
      </c>
      <c r="C52" s="1">
        <v>-2</v>
      </c>
    </row>
    <row r="53" spans="1:3" x14ac:dyDescent="0.25">
      <c r="A53" s="1" t="s">
        <v>23</v>
      </c>
      <c r="B53" s="1" t="str">
        <f t="shared" si="2"/>
        <v>Finance &amp; Insurance</v>
      </c>
      <c r="C53" s="1">
        <v>-1</v>
      </c>
    </row>
    <row r="56" spans="1:3" x14ac:dyDescent="0.25">
      <c r="A56" s="39" t="s">
        <v>24</v>
      </c>
      <c r="B56" s="39"/>
      <c r="C56" s="39"/>
    </row>
    <row r="57" spans="1:3" x14ac:dyDescent="0.25">
      <c r="A57" s="1" t="s">
        <v>35</v>
      </c>
      <c r="B57" s="1" t="str">
        <f t="shared" ref="B57:B71" si="3">TRIM(A57)</f>
        <v>Agriculture, Forestry, Fishing &amp; Hunting</v>
      </c>
      <c r="C57" s="1">
        <v>-13</v>
      </c>
    </row>
    <row r="58" spans="1:3" x14ac:dyDescent="0.25">
      <c r="A58" s="1" t="s">
        <v>9</v>
      </c>
      <c r="B58" s="1" t="str">
        <f t="shared" si="3"/>
        <v>Management of Companies &amp; Support Services</v>
      </c>
      <c r="C58" s="1">
        <v>-12</v>
      </c>
    </row>
    <row r="59" spans="1:3" x14ac:dyDescent="0.25">
      <c r="A59" s="1" t="s">
        <v>7</v>
      </c>
      <c r="B59" s="1" t="str">
        <f t="shared" si="3"/>
        <v>Construction</v>
      </c>
      <c r="C59" s="1">
        <v>-11</v>
      </c>
    </row>
    <row r="60" spans="1:3" x14ac:dyDescent="0.25">
      <c r="A60" s="1" t="s">
        <v>5</v>
      </c>
      <c r="B60" s="1" t="str">
        <f t="shared" si="3"/>
        <v>Transportation &amp; Warehousing</v>
      </c>
      <c r="C60" s="1">
        <v>-10</v>
      </c>
    </row>
    <row r="61" spans="1:3" x14ac:dyDescent="0.25">
      <c r="A61" s="1" t="s">
        <v>8</v>
      </c>
      <c r="B61" s="1" t="str">
        <f t="shared" si="3"/>
        <v>Retail Trade</v>
      </c>
      <c r="C61" s="1">
        <v>-9</v>
      </c>
    </row>
    <row r="62" spans="1:3" x14ac:dyDescent="0.25">
      <c r="A62" s="1" t="s">
        <v>3</v>
      </c>
      <c r="B62" s="1" t="str">
        <f t="shared" si="3"/>
        <v>Utilities</v>
      </c>
      <c r="C62" s="1">
        <v>-8</v>
      </c>
    </row>
    <row r="63" spans="1:3" x14ac:dyDescent="0.25">
      <c r="A63" s="1" t="s">
        <v>2</v>
      </c>
      <c r="B63" s="1" t="str">
        <f t="shared" si="3"/>
        <v>Health Care &amp; Social Assistance</v>
      </c>
      <c r="C63" s="1">
        <v>-7</v>
      </c>
    </row>
    <row r="64" spans="1:3" x14ac:dyDescent="0.25">
      <c r="A64" s="1" t="s">
        <v>4</v>
      </c>
      <c r="B64" s="1" t="str">
        <f t="shared" si="3"/>
        <v>Accommodation &amp; Food Services</v>
      </c>
      <c r="C64" s="1">
        <v>-6</v>
      </c>
    </row>
    <row r="65" spans="1:3" x14ac:dyDescent="0.25">
      <c r="A65" s="1" t="s">
        <v>17</v>
      </c>
      <c r="B65" s="1" t="str">
        <f t="shared" si="3"/>
        <v>Information</v>
      </c>
      <c r="C65" s="1">
        <v>-5</v>
      </c>
    </row>
    <row r="66" spans="1:3" x14ac:dyDescent="0.25">
      <c r="A66" s="1" t="s">
        <v>6</v>
      </c>
      <c r="B66" s="1" t="str">
        <f t="shared" si="3"/>
        <v>Wholesale Trade</v>
      </c>
      <c r="C66" s="1">
        <v>-4</v>
      </c>
    </row>
    <row r="67" spans="1:3" x14ac:dyDescent="0.25">
      <c r="A67" s="1" t="s">
        <v>10</v>
      </c>
      <c r="B67" s="1" t="str">
        <f t="shared" si="3"/>
        <v>Public Administration</v>
      </c>
      <c r="C67" s="1">
        <v>-3</v>
      </c>
    </row>
    <row r="68" spans="1:3" x14ac:dyDescent="0.25">
      <c r="A68" s="1" t="s">
        <v>12</v>
      </c>
      <c r="B68" s="1" t="str">
        <f t="shared" si="3"/>
        <v>Educational Services</v>
      </c>
      <c r="C68" s="1">
        <v>-2</v>
      </c>
    </row>
    <row r="69" spans="1:3" x14ac:dyDescent="0.25">
      <c r="A69" s="1" t="s">
        <v>23</v>
      </c>
      <c r="B69" s="1" t="str">
        <f t="shared" si="3"/>
        <v>Finance &amp; Insurance</v>
      </c>
      <c r="C69" s="1">
        <v>-1</v>
      </c>
    </row>
    <row r="70" spans="1:3" x14ac:dyDescent="0.25">
      <c r="A70" s="1" t="s">
        <v>29</v>
      </c>
      <c r="B70" s="1" t="str">
        <f t="shared" si="3"/>
        <v>Real Estate, Rental &amp; Leasing</v>
      </c>
      <c r="C70" s="1">
        <v>2</v>
      </c>
    </row>
    <row r="71" spans="1:3" x14ac:dyDescent="0.25">
      <c r="A71" s="1" t="s">
        <v>18</v>
      </c>
      <c r="B71" s="1" t="str">
        <f t="shared" si="3"/>
        <v>Other Services</v>
      </c>
      <c r="C71" s="1">
        <v>1</v>
      </c>
    </row>
    <row r="73" spans="1:3" x14ac:dyDescent="0.25">
      <c r="A73" s="39" t="s">
        <v>26</v>
      </c>
      <c r="B73" s="39"/>
      <c r="C73" s="39"/>
    </row>
    <row r="74" spans="1:3" x14ac:dyDescent="0.25">
      <c r="A74" s="1" t="s">
        <v>27</v>
      </c>
      <c r="B74" s="1" t="str">
        <f t="shared" ref="B74:B87" si="4">TRIM(A74)</f>
        <v>Educational Services</v>
      </c>
      <c r="C74" s="1">
        <v>7</v>
      </c>
    </row>
    <row r="75" spans="1:3" x14ac:dyDescent="0.25">
      <c r="A75" s="1" t="s">
        <v>8</v>
      </c>
      <c r="B75" s="1" t="str">
        <f t="shared" si="4"/>
        <v>Retail Trade</v>
      </c>
      <c r="C75" s="1">
        <v>6</v>
      </c>
    </row>
    <row r="76" spans="1:3" x14ac:dyDescent="0.25">
      <c r="A76" s="1" t="s">
        <v>2</v>
      </c>
      <c r="B76" s="1" t="str">
        <f t="shared" si="4"/>
        <v>Health Care &amp; Social Assistance</v>
      </c>
      <c r="C76" s="1">
        <v>5</v>
      </c>
    </row>
    <row r="77" spans="1:3" x14ac:dyDescent="0.25">
      <c r="A77" s="1" t="s">
        <v>11</v>
      </c>
      <c r="B77" s="1" t="str">
        <f t="shared" si="4"/>
        <v>Finance &amp; Insurance</v>
      </c>
      <c r="C77" s="1">
        <v>4</v>
      </c>
    </row>
    <row r="78" spans="1:3" x14ac:dyDescent="0.25">
      <c r="A78" s="1" t="s">
        <v>6</v>
      </c>
      <c r="B78" s="1" t="str">
        <f t="shared" si="4"/>
        <v>Wholesale Trade</v>
      </c>
      <c r="C78" s="1">
        <v>3</v>
      </c>
    </row>
    <row r="79" spans="1:3" x14ac:dyDescent="0.25">
      <c r="A79" s="1" t="s">
        <v>17</v>
      </c>
      <c r="B79" s="1" t="str">
        <f t="shared" si="4"/>
        <v>Information</v>
      </c>
      <c r="C79" s="1">
        <v>2</v>
      </c>
    </row>
    <row r="80" spans="1:3" x14ac:dyDescent="0.25">
      <c r="A80" s="1" t="s">
        <v>34</v>
      </c>
      <c r="B80" s="1" t="str">
        <f t="shared" si="4"/>
        <v>Public Administration</v>
      </c>
      <c r="C80" s="1">
        <v>1</v>
      </c>
    </row>
    <row r="81" spans="1:3" x14ac:dyDescent="0.25">
      <c r="A81" s="1" t="s">
        <v>1</v>
      </c>
      <c r="B81" s="1" t="str">
        <f t="shared" si="4"/>
        <v>Arts, Entertainment &amp; Recreation</v>
      </c>
      <c r="C81" s="1">
        <v>-7</v>
      </c>
    </row>
    <row r="82" spans="1:3" x14ac:dyDescent="0.25">
      <c r="A82" s="1" t="s">
        <v>14</v>
      </c>
      <c r="B82" s="1" t="str">
        <f t="shared" si="4"/>
        <v>Real Estate, Rental &amp; Leasing</v>
      </c>
      <c r="C82" s="1">
        <v>-6</v>
      </c>
    </row>
    <row r="83" spans="1:3" x14ac:dyDescent="0.25">
      <c r="A83" s="1" t="s">
        <v>33</v>
      </c>
      <c r="B83" s="1" t="str">
        <f t="shared" si="4"/>
        <v>Mining</v>
      </c>
      <c r="C83" s="1">
        <v>-5</v>
      </c>
    </row>
    <row r="84" spans="1:3" x14ac:dyDescent="0.25">
      <c r="A84" s="1" t="s">
        <v>4</v>
      </c>
      <c r="B84" s="1" t="str">
        <f t="shared" si="4"/>
        <v>Accommodation &amp; Food Services</v>
      </c>
      <c r="C84" s="1">
        <v>-4</v>
      </c>
    </row>
    <row r="85" spans="1:3" x14ac:dyDescent="0.25">
      <c r="A85" s="1" t="s">
        <v>13</v>
      </c>
      <c r="B85" s="1" t="str">
        <f t="shared" si="4"/>
        <v>Agriculture, Forestry, Fishing &amp; Hunting</v>
      </c>
      <c r="C85" s="1">
        <v>-3</v>
      </c>
    </row>
    <row r="86" spans="1:3" x14ac:dyDescent="0.25">
      <c r="A86" s="1" t="s">
        <v>22</v>
      </c>
      <c r="B86" s="1" t="str">
        <f t="shared" si="4"/>
        <v>Other Services</v>
      </c>
      <c r="C86" s="1">
        <v>-2</v>
      </c>
    </row>
    <row r="87" spans="1:3" x14ac:dyDescent="0.25">
      <c r="A87" s="1" t="s">
        <v>7</v>
      </c>
      <c r="B87" s="1" t="str">
        <f t="shared" si="4"/>
        <v>Construction</v>
      </c>
      <c r="C87" s="1">
        <v>-1</v>
      </c>
    </row>
    <row r="89" spans="1:3" x14ac:dyDescent="0.25">
      <c r="A89" s="39" t="s">
        <v>30</v>
      </c>
      <c r="B89" s="39"/>
      <c r="C89" s="39"/>
    </row>
    <row r="90" spans="1:3" x14ac:dyDescent="0.25">
      <c r="A90" s="1" t="s">
        <v>36</v>
      </c>
      <c r="B90" s="1" t="str">
        <f t="shared" ref="B90:B103" si="5">TRIM(A90)</f>
        <v>Wholesale Trade</v>
      </c>
      <c r="C90" s="1">
        <v>11</v>
      </c>
    </row>
    <row r="91" spans="1:3" x14ac:dyDescent="0.25">
      <c r="A91" s="1" t="s">
        <v>2</v>
      </c>
      <c r="B91" s="1" t="str">
        <f t="shared" si="5"/>
        <v>Health Care &amp; Social Assistance</v>
      </c>
      <c r="C91" s="1">
        <v>10</v>
      </c>
    </row>
    <row r="92" spans="1:3" x14ac:dyDescent="0.25">
      <c r="A92" s="1" t="s">
        <v>7</v>
      </c>
      <c r="B92" s="1" t="str">
        <f t="shared" si="5"/>
        <v>Construction</v>
      </c>
      <c r="C92" s="1">
        <v>9</v>
      </c>
    </row>
    <row r="93" spans="1:3" x14ac:dyDescent="0.25">
      <c r="A93" s="1" t="s">
        <v>14</v>
      </c>
      <c r="B93" s="1" t="str">
        <f t="shared" si="5"/>
        <v>Real Estate, Rental &amp; Leasing</v>
      </c>
      <c r="C93" s="1">
        <v>8</v>
      </c>
    </row>
    <row r="94" spans="1:3" x14ac:dyDescent="0.25">
      <c r="A94" s="1" t="s">
        <v>8</v>
      </c>
      <c r="B94" s="1" t="str">
        <f t="shared" si="5"/>
        <v>Retail Trade</v>
      </c>
      <c r="C94" s="1">
        <v>7</v>
      </c>
    </row>
    <row r="95" spans="1:3" x14ac:dyDescent="0.25">
      <c r="A95" s="1" t="s">
        <v>9</v>
      </c>
      <c r="B95" s="1" t="str">
        <f t="shared" si="5"/>
        <v>Management of Companies &amp; Support Services</v>
      </c>
      <c r="C95" s="1">
        <v>6</v>
      </c>
    </row>
    <row r="96" spans="1:3" x14ac:dyDescent="0.25">
      <c r="A96" s="1" t="s">
        <v>11</v>
      </c>
      <c r="B96" s="1" t="str">
        <f t="shared" si="5"/>
        <v>Finance &amp; Insurance</v>
      </c>
      <c r="C96" s="1">
        <v>5</v>
      </c>
    </row>
    <row r="97" spans="1:3" x14ac:dyDescent="0.25">
      <c r="A97" s="1" t="s">
        <v>13</v>
      </c>
      <c r="B97" s="1" t="str">
        <f t="shared" si="5"/>
        <v>Agriculture, Forestry, Fishing &amp; Hunting</v>
      </c>
      <c r="C97" s="1">
        <v>4</v>
      </c>
    </row>
    <row r="98" spans="1:3" x14ac:dyDescent="0.25">
      <c r="A98" s="1" t="s">
        <v>32</v>
      </c>
      <c r="B98" s="1" t="str">
        <f t="shared" si="5"/>
        <v>Professional, Scientific &amp; Technical Services</v>
      </c>
      <c r="C98" s="1">
        <v>3</v>
      </c>
    </row>
    <row r="99" spans="1:3" x14ac:dyDescent="0.25">
      <c r="A99" s="1" t="s">
        <v>5</v>
      </c>
      <c r="B99" s="1" t="str">
        <f t="shared" si="5"/>
        <v>Transportation &amp; Warehousing</v>
      </c>
      <c r="C99" s="1">
        <v>2</v>
      </c>
    </row>
    <row r="100" spans="1:3" x14ac:dyDescent="0.25">
      <c r="A100" s="1" t="s">
        <v>27</v>
      </c>
      <c r="B100" s="1" t="str">
        <f t="shared" si="5"/>
        <v>Educational Services</v>
      </c>
      <c r="C100" s="1">
        <v>1</v>
      </c>
    </row>
    <row r="101" spans="1:3" x14ac:dyDescent="0.25">
      <c r="A101" s="1" t="s">
        <v>31</v>
      </c>
      <c r="B101" s="1" t="str">
        <f t="shared" si="5"/>
        <v>Accommodation &amp; Food Services</v>
      </c>
      <c r="C101" s="2">
        <v>-3</v>
      </c>
    </row>
    <row r="102" spans="1:3" x14ac:dyDescent="0.25">
      <c r="A102" s="1" t="s">
        <v>22</v>
      </c>
      <c r="B102" s="1" t="str">
        <f t="shared" si="5"/>
        <v>Other Services</v>
      </c>
      <c r="C102" s="2">
        <v>-2</v>
      </c>
    </row>
    <row r="103" spans="1:3" x14ac:dyDescent="0.25">
      <c r="A103" s="1" t="s">
        <v>37</v>
      </c>
      <c r="B103" s="1" t="str">
        <f t="shared" si="5"/>
        <v>information</v>
      </c>
      <c r="C103" s="2">
        <v>-1</v>
      </c>
    </row>
    <row r="105" spans="1:3" x14ac:dyDescent="0.25">
      <c r="A105" s="39" t="s">
        <v>3818</v>
      </c>
      <c r="B105" s="39"/>
      <c r="C105" s="39"/>
    </row>
    <row r="106" spans="1:3" x14ac:dyDescent="0.25">
      <c r="A106" s="2" t="s">
        <v>1</v>
      </c>
      <c r="B106" s="1" t="str">
        <f t="shared" ref="B106:B122" si="6">TRIM(A106)</f>
        <v>Arts, Entertainment &amp; Recreation</v>
      </c>
      <c r="C106" s="2">
        <v>16</v>
      </c>
    </row>
    <row r="107" spans="1:3" x14ac:dyDescent="0.25">
      <c r="A107" s="2" t="s">
        <v>14</v>
      </c>
      <c r="B107" s="1" t="str">
        <f t="shared" si="6"/>
        <v>Real Estate, Rental &amp; Leasing</v>
      </c>
      <c r="C107" s="2">
        <v>15</v>
      </c>
    </row>
    <row r="108" spans="1:3" x14ac:dyDescent="0.25">
      <c r="A108" s="2" t="s">
        <v>3</v>
      </c>
      <c r="B108" s="1" t="str">
        <f t="shared" si="6"/>
        <v>Utilities</v>
      </c>
      <c r="C108" s="2">
        <v>14</v>
      </c>
    </row>
    <row r="109" spans="1:3" x14ac:dyDescent="0.25">
      <c r="A109" s="2" t="s">
        <v>4</v>
      </c>
      <c r="B109" s="1" t="str">
        <f t="shared" si="6"/>
        <v>Accommodation &amp; Food Services</v>
      </c>
      <c r="C109" s="2">
        <v>13</v>
      </c>
    </row>
    <row r="110" spans="1:3" x14ac:dyDescent="0.25">
      <c r="A110" s="2" t="s">
        <v>9</v>
      </c>
      <c r="B110" s="1" t="str">
        <f t="shared" si="6"/>
        <v>Management of Companies &amp; Support Services</v>
      </c>
      <c r="C110" s="2">
        <v>12</v>
      </c>
    </row>
    <row r="111" spans="1:3" x14ac:dyDescent="0.25">
      <c r="A111" s="2" t="s">
        <v>5</v>
      </c>
      <c r="B111" s="1" t="str">
        <f t="shared" si="6"/>
        <v>Transportation &amp; Warehousing</v>
      </c>
      <c r="C111" s="2">
        <v>11</v>
      </c>
    </row>
    <row r="112" spans="1:3" x14ac:dyDescent="0.25">
      <c r="A112" s="2" t="s">
        <v>6</v>
      </c>
      <c r="B112" s="1" t="str">
        <f t="shared" si="6"/>
        <v>Wholesale Trade</v>
      </c>
      <c r="C112" s="2">
        <v>10</v>
      </c>
    </row>
    <row r="113" spans="1:3" x14ac:dyDescent="0.25">
      <c r="A113" s="2" t="s">
        <v>2</v>
      </c>
      <c r="B113" s="1" t="str">
        <f t="shared" si="6"/>
        <v>Health Care &amp; Social Assistance</v>
      </c>
      <c r="C113" s="2">
        <v>9</v>
      </c>
    </row>
    <row r="114" spans="1:3" x14ac:dyDescent="0.25">
      <c r="A114" s="2" t="s">
        <v>12</v>
      </c>
      <c r="B114" s="1" t="str">
        <f t="shared" si="6"/>
        <v>Educational Services</v>
      </c>
      <c r="C114" s="2">
        <v>8</v>
      </c>
    </row>
    <row r="115" spans="1:3" x14ac:dyDescent="0.25">
      <c r="A115" s="2" t="s">
        <v>11</v>
      </c>
      <c r="B115" s="1" t="str">
        <f t="shared" si="6"/>
        <v>Finance &amp; Insurance</v>
      </c>
      <c r="C115" s="2">
        <v>7</v>
      </c>
    </row>
    <row r="116" spans="1:3" x14ac:dyDescent="0.25">
      <c r="A116" s="2" t="s">
        <v>10</v>
      </c>
      <c r="B116" s="1" t="str">
        <f t="shared" si="6"/>
        <v>Public Administration</v>
      </c>
      <c r="C116" s="2">
        <v>6</v>
      </c>
    </row>
    <row r="117" spans="1:3" x14ac:dyDescent="0.25">
      <c r="A117" s="2" t="s">
        <v>33</v>
      </c>
      <c r="B117" s="1" t="str">
        <f t="shared" si="6"/>
        <v>Mining</v>
      </c>
      <c r="C117" s="2">
        <v>5</v>
      </c>
    </row>
    <row r="118" spans="1:3" x14ac:dyDescent="0.25">
      <c r="A118" s="2" t="s">
        <v>7</v>
      </c>
      <c r="B118" s="1" t="str">
        <f t="shared" si="6"/>
        <v>Construction</v>
      </c>
      <c r="C118" s="2">
        <v>4</v>
      </c>
    </row>
    <row r="119" spans="1:3" x14ac:dyDescent="0.25">
      <c r="A119" s="2" t="s">
        <v>17</v>
      </c>
      <c r="B119" s="1" t="str">
        <f t="shared" si="6"/>
        <v>Information</v>
      </c>
      <c r="C119" s="2">
        <v>3</v>
      </c>
    </row>
    <row r="120" spans="1:3" x14ac:dyDescent="0.25">
      <c r="A120" s="2" t="s">
        <v>22</v>
      </c>
      <c r="B120" s="1" t="str">
        <f t="shared" si="6"/>
        <v>Other Services</v>
      </c>
      <c r="C120" s="2">
        <v>2</v>
      </c>
    </row>
    <row r="121" spans="1:3" x14ac:dyDescent="0.25">
      <c r="A121" s="2" t="s">
        <v>15</v>
      </c>
      <c r="B121" s="1" t="str">
        <f t="shared" si="6"/>
        <v>Professional, Scientific &amp; Technical Services</v>
      </c>
      <c r="C121" s="2">
        <v>1</v>
      </c>
    </row>
    <row r="122" spans="1:3" x14ac:dyDescent="0.25">
      <c r="A122" s="2" t="s">
        <v>35</v>
      </c>
      <c r="B122" s="1" t="str">
        <f t="shared" si="6"/>
        <v>Agriculture, Forestry, Fishing &amp; Hunting</v>
      </c>
      <c r="C122" s="2">
        <v>-1</v>
      </c>
    </row>
  </sheetData>
  <mergeCells count="7">
    <mergeCell ref="A105:C105"/>
    <mergeCell ref="A89:C89"/>
    <mergeCell ref="A1:C1"/>
    <mergeCell ref="A20:C20"/>
    <mergeCell ref="A38:C38"/>
    <mergeCell ref="A56:C56"/>
    <mergeCell ref="A73:C73"/>
  </mergeCells>
  <pageMargins left="0.7" right="0.7" top="0.75" bottom="0.75" header="0.51180555555555496" footer="0.51180555555555496"/>
  <pageSetup paperSize="9" firstPageNumber="0"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G116"/>
  <sheetViews>
    <sheetView zoomScaleNormal="100" workbookViewId="0">
      <selection activeCell="F7" sqref="F7"/>
    </sheetView>
  </sheetViews>
  <sheetFormatPr defaultRowHeight="15" x14ac:dyDescent="0.25"/>
  <cols>
    <col min="1" max="1" width="43.85546875" customWidth="1"/>
    <col min="2" max="2" width="43.42578125" customWidth="1"/>
    <col min="3" max="7" width="8.7109375" customWidth="1"/>
    <col min="9" max="1025" width="8.7109375" customWidth="1"/>
  </cols>
  <sheetData>
    <row r="1" spans="1:7" x14ac:dyDescent="0.25">
      <c r="A1" s="39" t="s">
        <v>0</v>
      </c>
      <c r="B1" s="39"/>
      <c r="C1" s="39"/>
    </row>
    <row r="2" spans="1:7" x14ac:dyDescent="0.25">
      <c r="A2" s="1" t="s">
        <v>38</v>
      </c>
      <c r="B2" s="1" t="str">
        <f t="shared" ref="B2:B19" si="0">TRIM(A2)</f>
        <v>Transportation &amp; Warehousing</v>
      </c>
      <c r="C2" s="1">
        <v>16</v>
      </c>
    </row>
    <row r="3" spans="1:7" x14ac:dyDescent="0.25">
      <c r="A3" s="1" t="s">
        <v>7</v>
      </c>
      <c r="B3" s="1" t="str">
        <f t="shared" si="0"/>
        <v>Construction</v>
      </c>
      <c r="C3" s="1">
        <v>15</v>
      </c>
      <c r="F3" t="s">
        <v>31</v>
      </c>
      <c r="G3" s="29" t="s">
        <v>4018</v>
      </c>
    </row>
    <row r="4" spans="1:7" x14ac:dyDescent="0.25">
      <c r="A4" s="1" t="s">
        <v>4</v>
      </c>
      <c r="B4" s="1" t="str">
        <f t="shared" si="0"/>
        <v>Accommodation &amp; Food Services</v>
      </c>
      <c r="C4" s="1">
        <v>14</v>
      </c>
      <c r="F4" t="s">
        <v>20</v>
      </c>
      <c r="G4" s="29" t="s">
        <v>4019</v>
      </c>
    </row>
    <row r="5" spans="1:7" x14ac:dyDescent="0.25">
      <c r="A5" s="1" t="s">
        <v>2</v>
      </c>
      <c r="B5" s="1" t="str">
        <f t="shared" si="0"/>
        <v>Health Care &amp; Social Assistance</v>
      </c>
      <c r="C5" s="1">
        <v>13</v>
      </c>
      <c r="F5" t="s">
        <v>27</v>
      </c>
      <c r="G5" s="29" t="s">
        <v>4020</v>
      </c>
    </row>
    <row r="6" spans="1:7" x14ac:dyDescent="0.25">
      <c r="A6" s="1" t="s">
        <v>13</v>
      </c>
      <c r="B6" s="1" t="str">
        <f t="shared" si="0"/>
        <v>Agriculture, Forestry, Fishing &amp; Hunting</v>
      </c>
      <c r="C6" s="1">
        <v>12</v>
      </c>
      <c r="F6" t="s">
        <v>23</v>
      </c>
      <c r="G6" s="29" t="s">
        <v>4021</v>
      </c>
    </row>
    <row r="7" spans="1:7" x14ac:dyDescent="0.25">
      <c r="A7" s="1" t="s">
        <v>12</v>
      </c>
      <c r="B7" s="1" t="str">
        <f t="shared" si="0"/>
        <v>Educational Services</v>
      </c>
      <c r="C7" s="1">
        <v>11</v>
      </c>
      <c r="F7" t="s">
        <v>43</v>
      </c>
      <c r="G7" s="29" t="s">
        <v>4022</v>
      </c>
    </row>
    <row r="8" spans="1:7" x14ac:dyDescent="0.25">
      <c r="A8" s="1" t="s">
        <v>11</v>
      </c>
      <c r="B8" s="1" t="str">
        <f t="shared" si="0"/>
        <v>Finance &amp; Insurance</v>
      </c>
      <c r="C8" s="1">
        <v>10</v>
      </c>
      <c r="F8" t="s">
        <v>28</v>
      </c>
      <c r="G8" s="29" t="s">
        <v>4023</v>
      </c>
    </row>
    <row r="9" spans="1:7" x14ac:dyDescent="0.25">
      <c r="A9" s="1" t="s">
        <v>9</v>
      </c>
      <c r="B9" s="1" t="str">
        <f t="shared" si="0"/>
        <v>Management of Companies &amp; Support Services</v>
      </c>
      <c r="C9" s="1">
        <v>9</v>
      </c>
      <c r="F9" t="s">
        <v>41</v>
      </c>
      <c r="G9" s="29" t="s">
        <v>4024</v>
      </c>
    </row>
    <row r="10" spans="1:7" x14ac:dyDescent="0.25">
      <c r="A10" s="1" t="s">
        <v>6</v>
      </c>
      <c r="B10" s="1" t="str">
        <f t="shared" si="0"/>
        <v>Wholesale Trade</v>
      </c>
      <c r="C10" s="1">
        <v>8</v>
      </c>
      <c r="F10" t="s">
        <v>15</v>
      </c>
      <c r="G10" s="29" t="s">
        <v>4025</v>
      </c>
    </row>
    <row r="11" spans="1:7" x14ac:dyDescent="0.25">
      <c r="A11" s="1" t="s">
        <v>33</v>
      </c>
      <c r="B11" s="1" t="str">
        <f t="shared" si="0"/>
        <v>Mining</v>
      </c>
      <c r="C11" s="1">
        <v>7</v>
      </c>
      <c r="F11" t="s">
        <v>25</v>
      </c>
      <c r="G11" s="29" t="s">
        <v>4026</v>
      </c>
    </row>
    <row r="12" spans="1:7" x14ac:dyDescent="0.25">
      <c r="A12" s="1" t="s">
        <v>32</v>
      </c>
      <c r="B12" s="1" t="str">
        <f t="shared" si="0"/>
        <v>Professional, Scientific &amp; Technical Services</v>
      </c>
      <c r="C12" s="1">
        <v>6</v>
      </c>
      <c r="F12" t="s">
        <v>36</v>
      </c>
      <c r="G12" s="29" t="s">
        <v>4027</v>
      </c>
    </row>
    <row r="13" spans="1:7" x14ac:dyDescent="0.25">
      <c r="A13" s="1" t="s">
        <v>3</v>
      </c>
      <c r="B13" s="1" t="str">
        <f t="shared" si="0"/>
        <v>Utilities</v>
      </c>
      <c r="C13" s="1">
        <v>5</v>
      </c>
    </row>
    <row r="14" spans="1:7" x14ac:dyDescent="0.25">
      <c r="A14" s="1" t="s">
        <v>8</v>
      </c>
      <c r="B14" s="1" t="str">
        <f t="shared" si="0"/>
        <v>Retail Trade</v>
      </c>
      <c r="C14" s="1">
        <v>4</v>
      </c>
    </row>
    <row r="15" spans="1:7" x14ac:dyDescent="0.25">
      <c r="A15" s="1" t="s">
        <v>14</v>
      </c>
      <c r="B15" s="1" t="str">
        <f t="shared" si="0"/>
        <v>Real Estate, Rental &amp; Leasing</v>
      </c>
      <c r="C15" s="1">
        <v>3</v>
      </c>
    </row>
    <row r="16" spans="1:7" x14ac:dyDescent="0.25">
      <c r="A16" s="1" t="s">
        <v>17</v>
      </c>
      <c r="B16" s="1" t="str">
        <f t="shared" si="0"/>
        <v>Information</v>
      </c>
      <c r="C16" s="1">
        <v>2</v>
      </c>
    </row>
    <row r="17" spans="1:3" x14ac:dyDescent="0.25">
      <c r="A17" s="1" t="s">
        <v>18</v>
      </c>
      <c r="B17" s="1" t="str">
        <f t="shared" si="0"/>
        <v>Other Services</v>
      </c>
      <c r="C17" s="1">
        <v>1</v>
      </c>
    </row>
    <row r="18" spans="1:3" x14ac:dyDescent="0.25">
      <c r="A18" s="1" t="s">
        <v>1</v>
      </c>
      <c r="B18" s="1" t="str">
        <f t="shared" si="0"/>
        <v>Arts, Entertainment &amp; Recreation</v>
      </c>
      <c r="C18" s="1">
        <v>-2</v>
      </c>
    </row>
    <row r="19" spans="1:3" x14ac:dyDescent="0.25">
      <c r="A19" s="1" t="s">
        <v>34</v>
      </c>
      <c r="B19" s="1" t="str">
        <f t="shared" si="0"/>
        <v>Public Administration</v>
      </c>
      <c r="C19" s="1">
        <v>-1</v>
      </c>
    </row>
    <row r="21" spans="1:3" x14ac:dyDescent="0.25">
      <c r="A21" s="39" t="s">
        <v>19</v>
      </c>
      <c r="B21" s="39"/>
      <c r="C21" s="39"/>
    </row>
    <row r="22" spans="1:3" x14ac:dyDescent="0.25">
      <c r="A22" s="1" t="s">
        <v>38</v>
      </c>
      <c r="B22" s="1" t="str">
        <f t="shared" ref="B22:B36" si="1">TRIM(A22)</f>
        <v>Transportation &amp; Warehousing</v>
      </c>
      <c r="C22" s="1">
        <v>15</v>
      </c>
    </row>
    <row r="23" spans="1:3" x14ac:dyDescent="0.25">
      <c r="A23" s="1" t="s">
        <v>7</v>
      </c>
      <c r="B23" s="1" t="str">
        <f t="shared" si="1"/>
        <v>Construction</v>
      </c>
      <c r="C23" s="1">
        <v>14</v>
      </c>
    </row>
    <row r="24" spans="1:3" x14ac:dyDescent="0.25">
      <c r="A24" s="1" t="s">
        <v>2</v>
      </c>
      <c r="B24" s="1" t="str">
        <f t="shared" si="1"/>
        <v>Health Care &amp; Social Assistance</v>
      </c>
      <c r="C24" s="1">
        <v>13</v>
      </c>
    </row>
    <row r="25" spans="1:3" x14ac:dyDescent="0.25">
      <c r="A25" s="1" t="s">
        <v>4</v>
      </c>
      <c r="B25" s="1" t="str">
        <f t="shared" si="1"/>
        <v>Accommodation &amp; Food Services</v>
      </c>
      <c r="C25" s="1">
        <v>12</v>
      </c>
    </row>
    <row r="26" spans="1:3" x14ac:dyDescent="0.25">
      <c r="A26" s="1" t="s">
        <v>9</v>
      </c>
      <c r="B26" s="1" t="str">
        <f t="shared" si="1"/>
        <v>Management of Companies &amp; Support Services</v>
      </c>
      <c r="C26" s="1">
        <v>11</v>
      </c>
    </row>
    <row r="27" spans="1:3" x14ac:dyDescent="0.25">
      <c r="A27" s="1" t="s">
        <v>12</v>
      </c>
      <c r="B27" s="1" t="str">
        <f t="shared" si="1"/>
        <v>Educational Services</v>
      </c>
      <c r="C27" s="1">
        <v>10</v>
      </c>
    </row>
    <row r="28" spans="1:3" x14ac:dyDescent="0.25">
      <c r="A28" s="1" t="s">
        <v>11</v>
      </c>
      <c r="B28" s="1" t="str">
        <f t="shared" si="1"/>
        <v>Finance &amp; Insurance</v>
      </c>
      <c r="C28" s="1">
        <v>9</v>
      </c>
    </row>
    <row r="29" spans="1:3" x14ac:dyDescent="0.25">
      <c r="A29" s="1" t="s">
        <v>13</v>
      </c>
      <c r="B29" s="1" t="str">
        <f t="shared" si="1"/>
        <v>Agriculture, Forestry, Fishing &amp; Hunting</v>
      </c>
      <c r="C29" s="1">
        <v>8</v>
      </c>
    </row>
    <row r="30" spans="1:3" x14ac:dyDescent="0.25">
      <c r="A30" s="1" t="s">
        <v>33</v>
      </c>
      <c r="B30" s="1" t="str">
        <f t="shared" si="1"/>
        <v>Mining</v>
      </c>
      <c r="C30" s="1">
        <v>7</v>
      </c>
    </row>
    <row r="31" spans="1:3" x14ac:dyDescent="0.25">
      <c r="A31" s="1" t="s">
        <v>32</v>
      </c>
      <c r="B31" s="1" t="str">
        <f t="shared" si="1"/>
        <v>Professional, Scientific &amp; Technical Services</v>
      </c>
      <c r="C31" s="1">
        <v>6</v>
      </c>
    </row>
    <row r="32" spans="1:3" x14ac:dyDescent="0.25">
      <c r="A32" s="1" t="s">
        <v>22</v>
      </c>
      <c r="B32" s="1" t="str">
        <f t="shared" si="1"/>
        <v>Other Services</v>
      </c>
      <c r="C32" s="1">
        <v>5</v>
      </c>
    </row>
    <row r="33" spans="1:3" x14ac:dyDescent="0.25">
      <c r="A33" s="1" t="s">
        <v>8</v>
      </c>
      <c r="B33" s="1" t="str">
        <f t="shared" si="1"/>
        <v>Retail Trade</v>
      </c>
      <c r="C33" s="1">
        <v>4</v>
      </c>
    </row>
    <row r="34" spans="1:3" x14ac:dyDescent="0.25">
      <c r="A34" s="1" t="s">
        <v>6</v>
      </c>
      <c r="B34" s="1" t="str">
        <f t="shared" si="1"/>
        <v>Wholesale Trade</v>
      </c>
      <c r="C34" s="1">
        <v>3</v>
      </c>
    </row>
    <row r="35" spans="1:3" x14ac:dyDescent="0.25">
      <c r="A35" s="1" t="s">
        <v>3</v>
      </c>
      <c r="B35" s="1" t="str">
        <f t="shared" si="1"/>
        <v>Utilities</v>
      </c>
      <c r="C35" s="1">
        <v>2</v>
      </c>
    </row>
    <row r="36" spans="1:3" x14ac:dyDescent="0.25">
      <c r="A36" s="1" t="s">
        <v>28</v>
      </c>
      <c r="B36" s="1" t="str">
        <f t="shared" si="1"/>
        <v>Information</v>
      </c>
      <c r="C36" s="1">
        <v>1</v>
      </c>
    </row>
    <row r="38" spans="1:3" x14ac:dyDescent="0.25">
      <c r="A38" s="39" t="s">
        <v>21</v>
      </c>
      <c r="B38" s="39"/>
      <c r="C38" s="39"/>
    </row>
    <row r="39" spans="1:3" x14ac:dyDescent="0.25">
      <c r="A39" s="1" t="s">
        <v>38</v>
      </c>
      <c r="B39" s="1" t="str">
        <f t="shared" ref="B39:B52" si="2">TRIM(A39)</f>
        <v>Transportation &amp; Warehousing</v>
      </c>
      <c r="C39" s="1">
        <v>6</v>
      </c>
    </row>
    <row r="40" spans="1:3" x14ac:dyDescent="0.25">
      <c r="A40" s="1" t="s">
        <v>8</v>
      </c>
      <c r="B40" s="1" t="str">
        <f t="shared" si="2"/>
        <v>Retail Trade</v>
      </c>
      <c r="C40" s="1">
        <v>5</v>
      </c>
    </row>
    <row r="41" spans="1:3" x14ac:dyDescent="0.25">
      <c r="A41" s="1" t="s">
        <v>2</v>
      </c>
      <c r="B41" s="1" t="str">
        <f t="shared" si="2"/>
        <v>Health Care &amp; Social Assistance</v>
      </c>
      <c r="C41" s="1">
        <v>4</v>
      </c>
    </row>
    <row r="42" spans="1:3" x14ac:dyDescent="0.25">
      <c r="A42" s="1" t="s">
        <v>6</v>
      </c>
      <c r="B42" s="1" t="str">
        <f t="shared" si="2"/>
        <v>Wholesale Trade</v>
      </c>
      <c r="C42" s="1">
        <v>3</v>
      </c>
    </row>
    <row r="43" spans="1:3" x14ac:dyDescent="0.25">
      <c r="A43" s="1" t="s">
        <v>11</v>
      </c>
      <c r="B43" s="1" t="str">
        <f t="shared" si="2"/>
        <v>Finance &amp; Insurance</v>
      </c>
      <c r="C43" s="1">
        <v>2</v>
      </c>
    </row>
    <row r="44" spans="1:3" x14ac:dyDescent="0.25">
      <c r="A44" s="1" t="s">
        <v>20</v>
      </c>
      <c r="B44" s="1" t="str">
        <f t="shared" si="2"/>
        <v>Construction</v>
      </c>
      <c r="C44" s="1">
        <v>1</v>
      </c>
    </row>
    <row r="45" spans="1:3" x14ac:dyDescent="0.25">
      <c r="A45" s="1" t="s">
        <v>1</v>
      </c>
      <c r="B45" s="1" t="str">
        <f t="shared" si="2"/>
        <v>Arts, Entertainment &amp; Recreation</v>
      </c>
      <c r="C45" s="1">
        <v>-8</v>
      </c>
    </row>
    <row r="46" spans="1:3" x14ac:dyDescent="0.25">
      <c r="A46" s="1" t="s">
        <v>22</v>
      </c>
      <c r="B46" s="1" t="str">
        <f t="shared" si="2"/>
        <v>Other Services</v>
      </c>
      <c r="C46" s="1">
        <v>-7</v>
      </c>
    </row>
    <row r="47" spans="1:3" x14ac:dyDescent="0.25">
      <c r="A47" s="1" t="s">
        <v>33</v>
      </c>
      <c r="B47" s="1" t="str">
        <f t="shared" si="2"/>
        <v>Mining</v>
      </c>
      <c r="C47" s="1">
        <v>-6</v>
      </c>
    </row>
    <row r="48" spans="1:3" x14ac:dyDescent="0.25">
      <c r="A48" s="1" t="s">
        <v>17</v>
      </c>
      <c r="B48" s="1" t="str">
        <f t="shared" si="2"/>
        <v>Information</v>
      </c>
      <c r="C48" s="1">
        <v>-5</v>
      </c>
    </row>
    <row r="49" spans="1:3" x14ac:dyDescent="0.25">
      <c r="A49" s="1" t="s">
        <v>10</v>
      </c>
      <c r="B49" s="1" t="str">
        <f t="shared" si="2"/>
        <v>Public Administration</v>
      </c>
      <c r="C49" s="1">
        <v>-4</v>
      </c>
    </row>
    <row r="50" spans="1:3" x14ac:dyDescent="0.25">
      <c r="A50" s="1" t="s">
        <v>3</v>
      </c>
      <c r="B50" s="1" t="str">
        <f t="shared" si="2"/>
        <v>Utilities</v>
      </c>
      <c r="C50" s="1">
        <v>-3</v>
      </c>
    </row>
    <row r="51" spans="1:3" x14ac:dyDescent="0.25">
      <c r="A51" s="1" t="s">
        <v>12</v>
      </c>
      <c r="B51" s="1" t="str">
        <f t="shared" si="2"/>
        <v>Educational Services</v>
      </c>
      <c r="C51" s="1">
        <v>-2</v>
      </c>
    </row>
    <row r="52" spans="1:3" x14ac:dyDescent="0.25">
      <c r="A52" s="1" t="s">
        <v>15</v>
      </c>
      <c r="B52" s="1" t="str">
        <f t="shared" si="2"/>
        <v>Professional, Scientific &amp; Technical Services</v>
      </c>
      <c r="C52" s="1">
        <v>-1</v>
      </c>
    </row>
    <row r="54" spans="1:3" x14ac:dyDescent="0.25">
      <c r="A54" s="39" t="s">
        <v>24</v>
      </c>
      <c r="B54" s="39"/>
      <c r="C54" s="39"/>
    </row>
    <row r="55" spans="1:3" x14ac:dyDescent="0.25">
      <c r="A55" s="1" t="s">
        <v>38</v>
      </c>
      <c r="B55" s="1" t="str">
        <f t="shared" ref="B55:B66" si="3">TRIM(A55)</f>
        <v>Transportation &amp; Warehousing</v>
      </c>
      <c r="C55" s="1">
        <v>-12</v>
      </c>
    </row>
    <row r="56" spans="1:3" x14ac:dyDescent="0.25">
      <c r="A56" s="1" t="s">
        <v>13</v>
      </c>
      <c r="B56" s="1" t="str">
        <f t="shared" si="3"/>
        <v>Agriculture, Forestry, Fishing &amp; Hunting</v>
      </c>
      <c r="C56" s="1">
        <v>-11</v>
      </c>
    </row>
    <row r="57" spans="1:3" x14ac:dyDescent="0.25">
      <c r="A57" s="1" t="s">
        <v>4</v>
      </c>
      <c r="B57" s="1" t="str">
        <f t="shared" si="3"/>
        <v>Accommodation &amp; Food Services</v>
      </c>
      <c r="C57" s="1">
        <v>-10</v>
      </c>
    </row>
    <row r="58" spans="1:3" x14ac:dyDescent="0.25">
      <c r="A58" s="1" t="s">
        <v>7</v>
      </c>
      <c r="B58" s="1" t="str">
        <f t="shared" si="3"/>
        <v>Construction</v>
      </c>
      <c r="C58" s="1">
        <v>-9</v>
      </c>
    </row>
    <row r="59" spans="1:3" x14ac:dyDescent="0.25">
      <c r="A59" s="1" t="s">
        <v>6</v>
      </c>
      <c r="B59" s="1" t="str">
        <f t="shared" si="3"/>
        <v>Wholesale Trade</v>
      </c>
      <c r="C59" s="1">
        <v>-8</v>
      </c>
    </row>
    <row r="60" spans="1:3" x14ac:dyDescent="0.25">
      <c r="A60" s="1" t="s">
        <v>32</v>
      </c>
      <c r="B60" s="1" t="str">
        <f t="shared" si="3"/>
        <v>Professional, Scientific &amp; Technical Services</v>
      </c>
      <c r="C60" s="1">
        <v>-7</v>
      </c>
    </row>
    <row r="61" spans="1:3" x14ac:dyDescent="0.25">
      <c r="A61" s="1" t="s">
        <v>3</v>
      </c>
      <c r="B61" s="1" t="str">
        <f t="shared" si="3"/>
        <v>Utilities</v>
      </c>
      <c r="C61" s="1">
        <v>-6</v>
      </c>
    </row>
    <row r="62" spans="1:3" x14ac:dyDescent="0.25">
      <c r="A62" s="1" t="s">
        <v>17</v>
      </c>
      <c r="B62" s="1" t="str">
        <f t="shared" si="3"/>
        <v>Information</v>
      </c>
      <c r="C62" s="1">
        <v>-5</v>
      </c>
    </row>
    <row r="63" spans="1:3" x14ac:dyDescent="0.25">
      <c r="A63" s="1" t="s">
        <v>2</v>
      </c>
      <c r="B63" s="1" t="str">
        <f t="shared" si="3"/>
        <v>Health Care &amp; Social Assistance</v>
      </c>
      <c r="C63" s="1">
        <v>-4</v>
      </c>
    </row>
    <row r="64" spans="1:3" x14ac:dyDescent="0.25">
      <c r="A64" s="1" t="s">
        <v>12</v>
      </c>
      <c r="B64" s="1" t="str">
        <f t="shared" si="3"/>
        <v>Educational Services</v>
      </c>
      <c r="C64" s="1">
        <v>-3</v>
      </c>
    </row>
    <row r="65" spans="1:3" x14ac:dyDescent="0.25">
      <c r="A65" s="1" t="s">
        <v>22</v>
      </c>
      <c r="B65" s="1" t="str">
        <f t="shared" si="3"/>
        <v>Other Services</v>
      </c>
      <c r="C65" s="1">
        <v>-2</v>
      </c>
    </row>
    <row r="66" spans="1:3" x14ac:dyDescent="0.25">
      <c r="A66" s="1" t="s">
        <v>25</v>
      </c>
      <c r="B66" s="1" t="str">
        <f t="shared" si="3"/>
        <v>Retail Trade</v>
      </c>
      <c r="C66" s="1">
        <v>-1</v>
      </c>
    </row>
    <row r="68" spans="1:3" x14ac:dyDescent="0.25">
      <c r="A68" s="39" t="s">
        <v>26</v>
      </c>
      <c r="B68" s="39"/>
      <c r="C68" s="39"/>
    </row>
    <row r="69" spans="1:3" x14ac:dyDescent="0.25">
      <c r="A69" s="1" t="s">
        <v>38</v>
      </c>
      <c r="B69" s="1" t="str">
        <f t="shared" ref="B69:B80" si="4">TRIM(A69)</f>
        <v>Transportation &amp; Warehousing</v>
      </c>
      <c r="C69" s="1">
        <v>7</v>
      </c>
    </row>
    <row r="70" spans="1:3" x14ac:dyDescent="0.25">
      <c r="A70" s="1" t="s">
        <v>17</v>
      </c>
      <c r="B70" s="1" t="str">
        <f t="shared" si="4"/>
        <v>Information</v>
      </c>
      <c r="C70" s="1">
        <v>6</v>
      </c>
    </row>
    <row r="71" spans="1:3" x14ac:dyDescent="0.25">
      <c r="A71" s="1" t="s">
        <v>12</v>
      </c>
      <c r="B71" s="1" t="str">
        <f t="shared" si="4"/>
        <v>Educational Services</v>
      </c>
      <c r="C71" s="1">
        <v>5</v>
      </c>
    </row>
    <row r="72" spans="1:3" x14ac:dyDescent="0.25">
      <c r="A72" s="1" t="s">
        <v>6</v>
      </c>
      <c r="B72" s="1" t="str">
        <f t="shared" si="4"/>
        <v>Wholesale Trade</v>
      </c>
      <c r="C72" s="1">
        <v>4</v>
      </c>
    </row>
    <row r="73" spans="1:3" x14ac:dyDescent="0.25">
      <c r="A73" s="1" t="s">
        <v>2</v>
      </c>
      <c r="B73" s="1" t="str">
        <f t="shared" si="4"/>
        <v>Health Care &amp; Social Assistance</v>
      </c>
      <c r="C73" s="1">
        <v>3</v>
      </c>
    </row>
    <row r="74" spans="1:3" x14ac:dyDescent="0.25">
      <c r="A74" s="1" t="s">
        <v>11</v>
      </c>
      <c r="B74" s="1" t="str">
        <f t="shared" si="4"/>
        <v>Finance &amp; Insurance</v>
      </c>
      <c r="C74" s="1">
        <v>2</v>
      </c>
    </row>
    <row r="75" spans="1:3" x14ac:dyDescent="0.25">
      <c r="A75" s="1" t="s">
        <v>34</v>
      </c>
      <c r="B75" s="1" t="str">
        <f t="shared" si="4"/>
        <v>Public Administration</v>
      </c>
      <c r="C75" s="1">
        <v>1</v>
      </c>
    </row>
    <row r="76" spans="1:3" x14ac:dyDescent="0.25">
      <c r="A76" s="1" t="s">
        <v>1</v>
      </c>
      <c r="B76" s="1" t="str">
        <f t="shared" si="4"/>
        <v>Arts, Entertainment &amp; Recreation</v>
      </c>
      <c r="C76" s="1">
        <v>-5</v>
      </c>
    </row>
    <row r="77" spans="1:3" x14ac:dyDescent="0.25">
      <c r="A77" s="1" t="s">
        <v>22</v>
      </c>
      <c r="B77" s="1" t="str">
        <f t="shared" si="4"/>
        <v>Other Services</v>
      </c>
      <c r="C77" s="1">
        <v>-4</v>
      </c>
    </row>
    <row r="78" spans="1:3" x14ac:dyDescent="0.25">
      <c r="A78" s="1" t="s">
        <v>33</v>
      </c>
      <c r="B78" s="1" t="str">
        <f t="shared" si="4"/>
        <v>Mining</v>
      </c>
      <c r="C78" s="1">
        <v>-3</v>
      </c>
    </row>
    <row r="79" spans="1:3" x14ac:dyDescent="0.25">
      <c r="A79" s="1" t="s">
        <v>7</v>
      </c>
      <c r="B79" s="1" t="str">
        <f t="shared" si="4"/>
        <v>Construction</v>
      </c>
      <c r="C79" s="1">
        <v>-2</v>
      </c>
    </row>
    <row r="80" spans="1:3" x14ac:dyDescent="0.25">
      <c r="A80" s="1" t="s">
        <v>39</v>
      </c>
      <c r="B80" s="1" t="str">
        <f t="shared" si="4"/>
        <v>Professional,Scientific &amp; Technical Services</v>
      </c>
      <c r="C80" s="1">
        <v>-1</v>
      </c>
    </row>
    <row r="82" spans="1:3" x14ac:dyDescent="0.25">
      <c r="A82" s="39" t="s">
        <v>30</v>
      </c>
      <c r="B82" s="39"/>
      <c r="C82" s="39"/>
    </row>
    <row r="83" spans="1:3" x14ac:dyDescent="0.25">
      <c r="A83" s="1" t="s">
        <v>38</v>
      </c>
      <c r="B83" s="1" t="str">
        <f t="shared" ref="B83:B97" si="5">TRIM(A83)</f>
        <v>Transportation &amp; Warehousing</v>
      </c>
      <c r="C83" s="1">
        <v>13</v>
      </c>
    </row>
    <row r="84" spans="1:3" x14ac:dyDescent="0.25">
      <c r="A84" s="1" t="s">
        <v>2</v>
      </c>
      <c r="B84" s="1" t="str">
        <f t="shared" si="5"/>
        <v>Health Care &amp; Social Assistance</v>
      </c>
      <c r="C84" s="1">
        <v>12</v>
      </c>
    </row>
    <row r="85" spans="1:3" x14ac:dyDescent="0.25">
      <c r="A85" s="1" t="s">
        <v>6</v>
      </c>
      <c r="B85" s="1" t="str">
        <f t="shared" si="5"/>
        <v>Wholesale Trade</v>
      </c>
      <c r="C85" s="1">
        <v>11</v>
      </c>
    </row>
    <row r="86" spans="1:3" x14ac:dyDescent="0.25">
      <c r="A86" s="1" t="s">
        <v>14</v>
      </c>
      <c r="B86" s="1" t="str">
        <f t="shared" si="5"/>
        <v>Real Estate, Rental &amp; Leasing</v>
      </c>
      <c r="C86" s="1">
        <v>10</v>
      </c>
    </row>
    <row r="87" spans="1:3" x14ac:dyDescent="0.25">
      <c r="A87" s="1" t="s">
        <v>13</v>
      </c>
      <c r="B87" s="1" t="str">
        <f t="shared" si="5"/>
        <v>Agriculture, Forestry, Fishing &amp; Hunting</v>
      </c>
      <c r="C87" s="1">
        <v>9</v>
      </c>
    </row>
    <row r="88" spans="1:3" x14ac:dyDescent="0.25">
      <c r="A88" s="1" t="s">
        <v>3</v>
      </c>
      <c r="B88" s="1" t="str">
        <f t="shared" si="5"/>
        <v>Utilities</v>
      </c>
      <c r="C88" s="1">
        <v>8</v>
      </c>
    </row>
    <row r="89" spans="1:3" x14ac:dyDescent="0.25">
      <c r="A89" s="1" t="s">
        <v>9</v>
      </c>
      <c r="B89" s="1" t="str">
        <f t="shared" si="5"/>
        <v>Management of Companies &amp; Support Services</v>
      </c>
      <c r="C89" s="1">
        <v>7</v>
      </c>
    </row>
    <row r="90" spans="1:3" x14ac:dyDescent="0.25">
      <c r="A90" s="1" t="s">
        <v>10</v>
      </c>
      <c r="B90" s="1" t="str">
        <f t="shared" si="5"/>
        <v>Public Administration</v>
      </c>
      <c r="C90" s="1">
        <v>6</v>
      </c>
    </row>
    <row r="91" spans="1:3" x14ac:dyDescent="0.25">
      <c r="A91" s="1" t="s">
        <v>32</v>
      </c>
      <c r="B91" s="1" t="str">
        <f t="shared" si="5"/>
        <v>Professional, Scientific &amp; Technical Services</v>
      </c>
      <c r="C91" s="1">
        <v>5</v>
      </c>
    </row>
    <row r="92" spans="1:3" x14ac:dyDescent="0.25">
      <c r="A92" s="1" t="s">
        <v>7</v>
      </c>
      <c r="B92" s="1" t="str">
        <f t="shared" si="5"/>
        <v>Construction</v>
      </c>
      <c r="C92" s="1">
        <v>4</v>
      </c>
    </row>
    <row r="93" spans="1:3" x14ac:dyDescent="0.25">
      <c r="A93" s="1" t="s">
        <v>11</v>
      </c>
      <c r="B93" s="1" t="str">
        <f t="shared" si="5"/>
        <v>Finance &amp; Insurance</v>
      </c>
      <c r="C93" s="1">
        <v>3</v>
      </c>
    </row>
    <row r="94" spans="1:3" x14ac:dyDescent="0.25">
      <c r="A94" s="1" t="s">
        <v>33</v>
      </c>
      <c r="B94" s="1" t="str">
        <f t="shared" si="5"/>
        <v>Mining</v>
      </c>
      <c r="C94" s="1">
        <v>2</v>
      </c>
    </row>
    <row r="95" spans="1:3" x14ac:dyDescent="0.25">
      <c r="A95" s="1" t="s">
        <v>12</v>
      </c>
      <c r="B95" s="1" t="str">
        <f t="shared" si="5"/>
        <v>Educational Services</v>
      </c>
      <c r="C95" s="1">
        <v>1</v>
      </c>
    </row>
    <row r="96" spans="1:3" x14ac:dyDescent="0.25">
      <c r="A96" s="1" t="s">
        <v>28</v>
      </c>
      <c r="B96" s="1" t="str">
        <f t="shared" si="5"/>
        <v>Information</v>
      </c>
      <c r="C96" s="1">
        <v>-2</v>
      </c>
    </row>
    <row r="97" spans="1:3" x14ac:dyDescent="0.25">
      <c r="A97" s="1" t="s">
        <v>31</v>
      </c>
      <c r="B97" s="1" t="str">
        <f t="shared" si="5"/>
        <v>Accommodation &amp; Food Services</v>
      </c>
      <c r="C97" s="1">
        <v>-1</v>
      </c>
    </row>
    <row r="99" spans="1:3" x14ac:dyDescent="0.25">
      <c r="A99" s="39" t="s">
        <v>3818</v>
      </c>
      <c r="B99" s="39"/>
      <c r="C99" s="39"/>
    </row>
    <row r="100" spans="1:3" x14ac:dyDescent="0.25">
      <c r="A100" s="2" t="s">
        <v>38</v>
      </c>
      <c r="B100" s="1" t="str">
        <f t="shared" ref="B100:B116" si="6">TRIM(A100)</f>
        <v>Transportation &amp; Warehousing</v>
      </c>
      <c r="C100" s="2">
        <v>16</v>
      </c>
    </row>
    <row r="101" spans="1:3" x14ac:dyDescent="0.25">
      <c r="A101" s="2" t="s">
        <v>4</v>
      </c>
      <c r="B101" s="1" t="str">
        <f t="shared" si="6"/>
        <v>Accommodation &amp; Food Services</v>
      </c>
      <c r="C101" s="2">
        <v>15</v>
      </c>
    </row>
    <row r="102" spans="1:3" x14ac:dyDescent="0.25">
      <c r="A102" s="2" t="s">
        <v>33</v>
      </c>
      <c r="B102" s="1" t="str">
        <f t="shared" si="6"/>
        <v>Mining</v>
      </c>
      <c r="C102" s="2">
        <v>14</v>
      </c>
    </row>
    <row r="103" spans="1:3" x14ac:dyDescent="0.25">
      <c r="A103" s="2" t="s">
        <v>14</v>
      </c>
      <c r="B103" s="1" t="str">
        <f t="shared" si="6"/>
        <v>Real Estate, Rental &amp; Leasing</v>
      </c>
      <c r="C103" s="2">
        <v>13</v>
      </c>
    </row>
    <row r="104" spans="1:3" x14ac:dyDescent="0.25">
      <c r="A104" s="2" t="s">
        <v>13</v>
      </c>
      <c r="B104" s="1" t="str">
        <f t="shared" si="6"/>
        <v>Agriculture, Forestry, Fishing &amp; Hunting</v>
      </c>
      <c r="C104" s="2">
        <v>12</v>
      </c>
    </row>
    <row r="105" spans="1:3" x14ac:dyDescent="0.25">
      <c r="A105" s="2" t="s">
        <v>2</v>
      </c>
      <c r="B105" s="1" t="str">
        <f t="shared" si="6"/>
        <v>Health Care &amp; Social Assistance</v>
      </c>
      <c r="C105" s="2">
        <v>11</v>
      </c>
    </row>
    <row r="106" spans="1:3" x14ac:dyDescent="0.25">
      <c r="A106" s="2" t="s">
        <v>7</v>
      </c>
      <c r="B106" s="1" t="str">
        <f t="shared" si="6"/>
        <v>Construction</v>
      </c>
      <c r="C106" s="2">
        <v>10</v>
      </c>
    </row>
    <row r="107" spans="1:3" x14ac:dyDescent="0.25">
      <c r="A107" s="2" t="s">
        <v>9</v>
      </c>
      <c r="B107" s="1" t="str">
        <f t="shared" si="6"/>
        <v>Management of Companies &amp; Support Services</v>
      </c>
      <c r="C107" s="2">
        <v>9</v>
      </c>
    </row>
    <row r="108" spans="1:3" x14ac:dyDescent="0.25">
      <c r="A108" s="2" t="s">
        <v>11</v>
      </c>
      <c r="B108" s="1" t="str">
        <f t="shared" si="6"/>
        <v>Finance &amp; Insurance</v>
      </c>
      <c r="C108" s="2">
        <v>8</v>
      </c>
    </row>
    <row r="109" spans="1:3" x14ac:dyDescent="0.25">
      <c r="A109" s="2" t="s">
        <v>12</v>
      </c>
      <c r="B109" s="1" t="str">
        <f t="shared" si="6"/>
        <v>Educational Services</v>
      </c>
      <c r="C109" s="2">
        <v>7</v>
      </c>
    </row>
    <row r="110" spans="1:3" x14ac:dyDescent="0.25">
      <c r="A110" s="2" t="s">
        <v>3</v>
      </c>
      <c r="B110" s="1" t="str">
        <f t="shared" si="6"/>
        <v>Utilities</v>
      </c>
      <c r="C110" s="2">
        <v>6</v>
      </c>
    </row>
    <row r="111" spans="1:3" x14ac:dyDescent="0.25">
      <c r="A111" s="2" t="s">
        <v>22</v>
      </c>
      <c r="B111" s="1" t="str">
        <f t="shared" si="6"/>
        <v>Other Services</v>
      </c>
      <c r="C111" s="2">
        <v>5</v>
      </c>
    </row>
    <row r="112" spans="1:3" x14ac:dyDescent="0.25">
      <c r="A112" s="2" t="s">
        <v>32</v>
      </c>
      <c r="B112" s="1" t="str">
        <f t="shared" si="6"/>
        <v>Professional, Scientific &amp; Technical Services</v>
      </c>
      <c r="C112" s="2">
        <v>4</v>
      </c>
    </row>
    <row r="113" spans="1:3" x14ac:dyDescent="0.25">
      <c r="A113" s="2" t="s">
        <v>6</v>
      </c>
      <c r="B113" s="1" t="str">
        <f t="shared" si="6"/>
        <v>Wholesale Trade</v>
      </c>
      <c r="C113" s="2">
        <v>3</v>
      </c>
    </row>
    <row r="114" spans="1:3" x14ac:dyDescent="0.25">
      <c r="A114" s="2" t="s">
        <v>17</v>
      </c>
      <c r="B114" s="1" t="str">
        <f t="shared" si="6"/>
        <v>Information</v>
      </c>
      <c r="C114" s="2">
        <v>2</v>
      </c>
    </row>
    <row r="115" spans="1:3" x14ac:dyDescent="0.25">
      <c r="A115" s="2" t="s">
        <v>25</v>
      </c>
      <c r="B115" s="1" t="str">
        <f t="shared" si="6"/>
        <v>Retail Trade</v>
      </c>
      <c r="C115" s="2">
        <v>1</v>
      </c>
    </row>
    <row r="116" spans="1:3" x14ac:dyDescent="0.25">
      <c r="A116" s="2" t="s">
        <v>34</v>
      </c>
      <c r="B116" s="1" t="str">
        <f t="shared" si="6"/>
        <v>Public Administration</v>
      </c>
      <c r="C116" s="2">
        <v>-1</v>
      </c>
    </row>
  </sheetData>
  <mergeCells count="7">
    <mergeCell ref="A99:C99"/>
    <mergeCell ref="A82:C82"/>
    <mergeCell ref="A1:C1"/>
    <mergeCell ref="A21:C21"/>
    <mergeCell ref="A38:C38"/>
    <mergeCell ref="A54:C54"/>
    <mergeCell ref="A68:C68"/>
  </mergeCells>
  <pageMargins left="0.7" right="0.7" top="0.75" bottom="0.75" header="0.51180555555555496" footer="0.51180555555555496"/>
  <pageSetup paperSize="9" firstPageNumber="0"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G123"/>
  <sheetViews>
    <sheetView zoomScaleNormal="100" workbookViewId="0">
      <selection activeCell="L23" sqref="L23"/>
    </sheetView>
  </sheetViews>
  <sheetFormatPr defaultRowHeight="15" x14ac:dyDescent="0.25"/>
  <cols>
    <col min="1" max="1" width="43.85546875" customWidth="1"/>
    <col min="2" max="2" width="43.42578125" customWidth="1"/>
    <col min="3" max="3" width="8.28515625" customWidth="1"/>
    <col min="4" max="7" width="8.7109375" customWidth="1"/>
    <col min="9" max="1025" width="8.7109375" customWidth="1"/>
  </cols>
  <sheetData>
    <row r="1" spans="1:7" x14ac:dyDescent="0.25">
      <c r="A1" s="39" t="s">
        <v>0</v>
      </c>
      <c r="B1" s="39"/>
      <c r="C1" s="39"/>
    </row>
    <row r="2" spans="1:7" x14ac:dyDescent="0.25">
      <c r="A2" s="1" t="s">
        <v>38</v>
      </c>
      <c r="B2" s="1" t="str">
        <f t="shared" ref="B2:B19" si="0">TRIM(A2)</f>
        <v>Transportation &amp; Warehousing</v>
      </c>
      <c r="C2" s="1">
        <v>14</v>
      </c>
    </row>
    <row r="3" spans="1:7" x14ac:dyDescent="0.25">
      <c r="A3" s="1" t="s">
        <v>9</v>
      </c>
      <c r="B3" s="1" t="str">
        <f t="shared" si="0"/>
        <v>Management of Companies &amp; Support Services</v>
      </c>
      <c r="C3" s="1">
        <v>13</v>
      </c>
      <c r="F3" t="s">
        <v>31</v>
      </c>
      <c r="G3" s="29" t="s">
        <v>4008</v>
      </c>
    </row>
    <row r="4" spans="1:7" x14ac:dyDescent="0.25">
      <c r="A4" s="1" t="s">
        <v>2</v>
      </c>
      <c r="B4" s="1" t="str">
        <f t="shared" si="0"/>
        <v>Health Care &amp; Social Assistance</v>
      </c>
      <c r="C4" s="1">
        <v>12</v>
      </c>
      <c r="F4" t="s">
        <v>20</v>
      </c>
      <c r="G4" s="29" t="s">
        <v>4009</v>
      </c>
    </row>
    <row r="5" spans="1:7" x14ac:dyDescent="0.25">
      <c r="A5" s="1" t="s">
        <v>3</v>
      </c>
      <c r="B5" s="1" t="str">
        <f t="shared" si="0"/>
        <v>Utilities</v>
      </c>
      <c r="C5" s="1">
        <v>11</v>
      </c>
      <c r="F5" t="s">
        <v>27</v>
      </c>
      <c r="G5" s="29" t="s">
        <v>4010</v>
      </c>
    </row>
    <row r="6" spans="1:7" x14ac:dyDescent="0.25">
      <c r="A6" s="1" t="s">
        <v>4</v>
      </c>
      <c r="B6" s="1" t="str">
        <f t="shared" si="0"/>
        <v>Accommodation &amp; Food Services</v>
      </c>
      <c r="C6" s="1">
        <v>10</v>
      </c>
      <c r="F6" t="s">
        <v>23</v>
      </c>
      <c r="G6" s="29" t="s">
        <v>4011</v>
      </c>
    </row>
    <row r="7" spans="1:7" x14ac:dyDescent="0.25">
      <c r="A7" s="1" t="s">
        <v>7</v>
      </c>
      <c r="B7" s="1" t="str">
        <f t="shared" si="0"/>
        <v>Construction</v>
      </c>
      <c r="C7" s="1">
        <v>9</v>
      </c>
      <c r="F7" t="s">
        <v>43</v>
      </c>
      <c r="G7" s="29" t="s">
        <v>4012</v>
      </c>
    </row>
    <row r="8" spans="1:7" x14ac:dyDescent="0.25">
      <c r="A8" s="1" t="s">
        <v>8</v>
      </c>
      <c r="B8" s="1" t="str">
        <f t="shared" si="0"/>
        <v>Retail Trade</v>
      </c>
      <c r="C8" s="1">
        <v>8</v>
      </c>
      <c r="F8" t="s">
        <v>28</v>
      </c>
      <c r="G8" s="29" t="s">
        <v>4013</v>
      </c>
    </row>
    <row r="9" spans="1:7" x14ac:dyDescent="0.25">
      <c r="A9" s="1" t="s">
        <v>6</v>
      </c>
      <c r="B9" s="1" t="str">
        <f t="shared" si="0"/>
        <v>Wholesale Trade</v>
      </c>
      <c r="C9" s="1">
        <v>7</v>
      </c>
      <c r="F9" t="s">
        <v>41</v>
      </c>
      <c r="G9" s="29" t="s">
        <v>4014</v>
      </c>
    </row>
    <row r="10" spans="1:7" x14ac:dyDescent="0.25">
      <c r="A10" s="1" t="s">
        <v>32</v>
      </c>
      <c r="B10" s="1" t="str">
        <f t="shared" si="0"/>
        <v>Professional, Scientific &amp; Technical Services</v>
      </c>
      <c r="C10" s="1">
        <v>6</v>
      </c>
      <c r="F10" t="s">
        <v>16</v>
      </c>
      <c r="G10" s="29" t="s">
        <v>4015</v>
      </c>
    </row>
    <row r="11" spans="1:7" x14ac:dyDescent="0.25">
      <c r="A11" s="1" t="s">
        <v>11</v>
      </c>
      <c r="B11" s="1" t="str">
        <f t="shared" si="0"/>
        <v>Finance &amp; Insurance</v>
      </c>
      <c r="C11" s="1">
        <v>5</v>
      </c>
      <c r="F11" t="s">
        <v>15</v>
      </c>
      <c r="G11" s="29" t="s">
        <v>4016</v>
      </c>
    </row>
    <row r="12" spans="1:7" x14ac:dyDescent="0.25">
      <c r="A12" s="1" t="s">
        <v>13</v>
      </c>
      <c r="B12" s="1" t="str">
        <f t="shared" si="0"/>
        <v>Agriculture, Forestry, Fishing &amp; Hunting</v>
      </c>
      <c r="C12" s="1">
        <v>4</v>
      </c>
      <c r="F12" t="s">
        <v>25</v>
      </c>
      <c r="G12" s="29" t="s">
        <v>4017</v>
      </c>
    </row>
    <row r="13" spans="1:7" x14ac:dyDescent="0.25">
      <c r="A13" s="1" t="s">
        <v>33</v>
      </c>
      <c r="B13" s="1" t="str">
        <f t="shared" si="0"/>
        <v>Mining</v>
      </c>
      <c r="C13" s="1">
        <v>3</v>
      </c>
    </row>
    <row r="14" spans="1:7" x14ac:dyDescent="0.25">
      <c r="A14" s="1" t="s">
        <v>10</v>
      </c>
      <c r="B14" s="1" t="str">
        <f t="shared" si="0"/>
        <v>Public Administration</v>
      </c>
      <c r="C14" s="1">
        <v>2</v>
      </c>
    </row>
    <row r="15" spans="1:7" x14ac:dyDescent="0.25">
      <c r="A15" s="1" t="s">
        <v>28</v>
      </c>
      <c r="B15" s="1" t="str">
        <f t="shared" si="0"/>
        <v>Information</v>
      </c>
      <c r="C15" s="1">
        <v>1</v>
      </c>
    </row>
    <row r="16" spans="1:7" x14ac:dyDescent="0.25">
      <c r="A16" s="1" t="s">
        <v>1</v>
      </c>
      <c r="B16" s="1" t="str">
        <f t="shared" si="0"/>
        <v>Arts, Entertainment &amp; Recreation</v>
      </c>
      <c r="C16" s="1">
        <v>-4</v>
      </c>
    </row>
    <row r="17" spans="1:3" x14ac:dyDescent="0.25">
      <c r="A17" s="1" t="s">
        <v>22</v>
      </c>
      <c r="B17" s="1" t="str">
        <f t="shared" si="0"/>
        <v>Other Services</v>
      </c>
      <c r="C17" s="1">
        <v>-3</v>
      </c>
    </row>
    <row r="18" spans="1:3" x14ac:dyDescent="0.25">
      <c r="A18" s="1" t="s">
        <v>14</v>
      </c>
      <c r="B18" s="1" t="str">
        <f t="shared" si="0"/>
        <v>Real Estate, Rental &amp; Leasing</v>
      </c>
      <c r="C18" s="1">
        <v>-2</v>
      </c>
    </row>
    <row r="19" spans="1:3" x14ac:dyDescent="0.25">
      <c r="A19" s="1" t="s">
        <v>12</v>
      </c>
      <c r="B19" s="1" t="str">
        <f t="shared" si="0"/>
        <v>Educational Services</v>
      </c>
      <c r="C19" s="1">
        <v>-1</v>
      </c>
    </row>
    <row r="21" spans="1:3" x14ac:dyDescent="0.25">
      <c r="A21" s="39" t="s">
        <v>19</v>
      </c>
      <c r="B21" s="39"/>
      <c r="C21" s="39"/>
    </row>
    <row r="22" spans="1:3" x14ac:dyDescent="0.25">
      <c r="A22" s="1" t="s">
        <v>38</v>
      </c>
      <c r="B22" s="1" t="str">
        <f t="shared" ref="B22:B37" si="1">TRIM(A22)</f>
        <v>Transportation &amp; Warehousing</v>
      </c>
      <c r="C22" s="1">
        <v>13</v>
      </c>
    </row>
    <row r="23" spans="1:3" x14ac:dyDescent="0.25">
      <c r="A23" s="1" t="s">
        <v>9</v>
      </c>
      <c r="B23" s="1" t="str">
        <f t="shared" si="1"/>
        <v>Management of Companies &amp; Support Services</v>
      </c>
      <c r="C23" s="1">
        <v>12</v>
      </c>
    </row>
    <row r="24" spans="1:3" x14ac:dyDescent="0.25">
      <c r="A24" s="1" t="s">
        <v>33</v>
      </c>
      <c r="B24" s="1" t="str">
        <f t="shared" si="1"/>
        <v>Mining</v>
      </c>
      <c r="C24" s="1">
        <v>11</v>
      </c>
    </row>
    <row r="25" spans="1:3" x14ac:dyDescent="0.25">
      <c r="A25" s="1" t="s">
        <v>2</v>
      </c>
      <c r="B25" s="1" t="str">
        <f t="shared" si="1"/>
        <v>Health Care &amp; Social Assistance</v>
      </c>
      <c r="C25" s="1">
        <v>10</v>
      </c>
    </row>
    <row r="26" spans="1:3" x14ac:dyDescent="0.25">
      <c r="A26" s="1" t="s">
        <v>11</v>
      </c>
      <c r="B26" s="1" t="str">
        <f t="shared" si="1"/>
        <v>Finance &amp; Insurance</v>
      </c>
      <c r="C26" s="1">
        <v>9</v>
      </c>
    </row>
    <row r="27" spans="1:3" x14ac:dyDescent="0.25">
      <c r="A27" s="1" t="s">
        <v>32</v>
      </c>
      <c r="B27" s="1" t="str">
        <f t="shared" si="1"/>
        <v>Professional, Scientific &amp; Technical Services</v>
      </c>
      <c r="C27" s="1">
        <v>8</v>
      </c>
    </row>
    <row r="28" spans="1:3" x14ac:dyDescent="0.25">
      <c r="A28" s="1" t="s">
        <v>7</v>
      </c>
      <c r="B28" s="1" t="str">
        <f t="shared" si="1"/>
        <v>Construction</v>
      </c>
      <c r="C28" s="1">
        <v>7</v>
      </c>
    </row>
    <row r="29" spans="1:3" x14ac:dyDescent="0.25">
      <c r="A29" s="1" t="s">
        <v>8</v>
      </c>
      <c r="B29" s="1" t="str">
        <f t="shared" si="1"/>
        <v>Retail Trade</v>
      </c>
      <c r="C29" s="1">
        <v>6</v>
      </c>
    </row>
    <row r="30" spans="1:3" x14ac:dyDescent="0.25">
      <c r="A30" s="1" t="s">
        <v>40</v>
      </c>
      <c r="B30" s="1" t="str">
        <f t="shared" si="1"/>
        <v>Utilities</v>
      </c>
      <c r="C30" s="1">
        <v>5</v>
      </c>
    </row>
    <row r="31" spans="1:3" x14ac:dyDescent="0.25">
      <c r="A31" s="1" t="s">
        <v>31</v>
      </c>
      <c r="B31" s="1" t="str">
        <f t="shared" si="1"/>
        <v>Accommodation &amp; Food Services</v>
      </c>
      <c r="C31" s="1">
        <v>4</v>
      </c>
    </row>
    <row r="32" spans="1:3" x14ac:dyDescent="0.25">
      <c r="A32" s="1" t="s">
        <v>12</v>
      </c>
      <c r="B32" s="1" t="str">
        <f t="shared" si="1"/>
        <v>Educational Services</v>
      </c>
      <c r="C32" s="1">
        <v>3</v>
      </c>
    </row>
    <row r="33" spans="1:3" x14ac:dyDescent="0.25">
      <c r="A33" s="1" t="s">
        <v>6</v>
      </c>
      <c r="B33" s="1" t="str">
        <f t="shared" si="1"/>
        <v>Wholesale Trade</v>
      </c>
      <c r="C33" s="1">
        <v>2</v>
      </c>
    </row>
    <row r="34" spans="1:3" x14ac:dyDescent="0.25">
      <c r="A34" s="1" t="s">
        <v>34</v>
      </c>
      <c r="B34" s="1" t="str">
        <f t="shared" si="1"/>
        <v>Public Administration</v>
      </c>
      <c r="C34" s="1">
        <v>1</v>
      </c>
    </row>
    <row r="35" spans="1:3" x14ac:dyDescent="0.25">
      <c r="A35" s="1" t="s">
        <v>1</v>
      </c>
      <c r="B35" s="1" t="str">
        <f t="shared" si="1"/>
        <v>Arts, Entertainment &amp; Recreation</v>
      </c>
      <c r="C35" s="1">
        <v>-3</v>
      </c>
    </row>
    <row r="36" spans="1:3" x14ac:dyDescent="0.25">
      <c r="A36" s="1" t="s">
        <v>22</v>
      </c>
      <c r="B36" s="1" t="str">
        <f t="shared" si="1"/>
        <v>Other Services</v>
      </c>
      <c r="C36" s="1">
        <v>-2</v>
      </c>
    </row>
    <row r="37" spans="1:3" x14ac:dyDescent="0.25">
      <c r="A37" s="1" t="s">
        <v>28</v>
      </c>
      <c r="B37" s="1" t="str">
        <f t="shared" si="1"/>
        <v>Information</v>
      </c>
      <c r="C37" s="1">
        <v>-1</v>
      </c>
    </row>
    <row r="39" spans="1:3" x14ac:dyDescent="0.25">
      <c r="A39" s="39" t="s">
        <v>21</v>
      </c>
      <c r="B39" s="39"/>
      <c r="C39" s="39"/>
    </row>
    <row r="40" spans="1:3" x14ac:dyDescent="0.25">
      <c r="A40" s="1" t="s">
        <v>38</v>
      </c>
      <c r="B40" s="1" t="s">
        <v>38</v>
      </c>
      <c r="C40" s="1">
        <v>7</v>
      </c>
    </row>
    <row r="41" spans="1:3" x14ac:dyDescent="0.25">
      <c r="A41" s="1" t="s">
        <v>3</v>
      </c>
      <c r="B41" s="1" t="str">
        <f t="shared" ref="B41:B52" si="2">TRIM(A41)</f>
        <v>Utilities</v>
      </c>
      <c r="C41" s="1">
        <v>6</v>
      </c>
    </row>
    <row r="42" spans="1:3" x14ac:dyDescent="0.25">
      <c r="A42" s="1" t="s">
        <v>7</v>
      </c>
      <c r="B42" s="1" t="str">
        <f t="shared" si="2"/>
        <v>Construction</v>
      </c>
      <c r="C42" s="1">
        <v>5</v>
      </c>
    </row>
    <row r="43" spans="1:3" x14ac:dyDescent="0.25">
      <c r="A43" s="1" t="s">
        <v>6</v>
      </c>
      <c r="B43" s="1" t="str">
        <f t="shared" si="2"/>
        <v>Wholesale Trade</v>
      </c>
      <c r="C43" s="1">
        <v>4</v>
      </c>
    </row>
    <row r="44" spans="1:3" x14ac:dyDescent="0.25">
      <c r="A44" s="1" t="s">
        <v>4</v>
      </c>
      <c r="B44" s="1" t="str">
        <f t="shared" si="2"/>
        <v>Accommodation &amp; Food Services</v>
      </c>
      <c r="C44" s="1">
        <v>3</v>
      </c>
    </row>
    <row r="45" spans="1:3" x14ac:dyDescent="0.25">
      <c r="A45" s="1" t="s">
        <v>2</v>
      </c>
      <c r="B45" s="1" t="str">
        <f t="shared" si="2"/>
        <v>Health Care &amp; Social Assistance</v>
      </c>
      <c r="C45" s="1">
        <v>2</v>
      </c>
    </row>
    <row r="46" spans="1:3" x14ac:dyDescent="0.25">
      <c r="A46" s="1" t="s">
        <v>41</v>
      </c>
      <c r="B46" s="1" t="str">
        <f t="shared" si="2"/>
        <v>Management of Companies &amp; Support Services</v>
      </c>
      <c r="C46" s="1">
        <v>1</v>
      </c>
    </row>
    <row r="47" spans="1:3" x14ac:dyDescent="0.25">
      <c r="A47" s="1" t="s">
        <v>1</v>
      </c>
      <c r="B47" s="1" t="str">
        <f t="shared" si="2"/>
        <v>Arts, Entertainment &amp; Recreation</v>
      </c>
      <c r="C47" s="1">
        <v>-6</v>
      </c>
    </row>
    <row r="48" spans="1:3" x14ac:dyDescent="0.25">
      <c r="A48" s="1" t="s">
        <v>12</v>
      </c>
      <c r="B48" s="1" t="str">
        <f t="shared" si="2"/>
        <v>Educational Services</v>
      </c>
      <c r="C48" s="1">
        <v>-5</v>
      </c>
    </row>
    <row r="49" spans="1:3" x14ac:dyDescent="0.25">
      <c r="A49" s="1" t="s">
        <v>22</v>
      </c>
      <c r="B49" s="1" t="str">
        <f t="shared" si="2"/>
        <v>Other Services</v>
      </c>
      <c r="C49" s="1">
        <v>-4</v>
      </c>
    </row>
    <row r="50" spans="1:3" x14ac:dyDescent="0.25">
      <c r="A50" s="1" t="s">
        <v>17</v>
      </c>
      <c r="B50" s="1" t="str">
        <f t="shared" si="2"/>
        <v>Information</v>
      </c>
      <c r="C50" s="1">
        <v>-3</v>
      </c>
    </row>
    <row r="51" spans="1:3" x14ac:dyDescent="0.25">
      <c r="A51" s="1" t="s">
        <v>33</v>
      </c>
      <c r="B51" s="1" t="str">
        <f t="shared" si="2"/>
        <v>Mining</v>
      </c>
      <c r="C51" s="1">
        <v>-2</v>
      </c>
    </row>
    <row r="52" spans="1:3" x14ac:dyDescent="0.25">
      <c r="A52" s="1" t="s">
        <v>34</v>
      </c>
      <c r="B52" s="1" t="str">
        <f t="shared" si="2"/>
        <v>Public Administration</v>
      </c>
      <c r="C52" s="1">
        <v>-1</v>
      </c>
    </row>
    <row r="54" spans="1:3" x14ac:dyDescent="0.25">
      <c r="A54" s="39" t="s">
        <v>24</v>
      </c>
      <c r="B54" s="39"/>
      <c r="C54" s="39"/>
    </row>
    <row r="55" spans="1:3" x14ac:dyDescent="0.25">
      <c r="A55" s="1" t="s">
        <v>35</v>
      </c>
      <c r="B55" s="1" t="str">
        <f t="shared" ref="B55:B68" si="3">TRIM(A55)</f>
        <v>Agriculture, Forestry, Fishing &amp; Hunting</v>
      </c>
      <c r="C55" s="1">
        <v>-14</v>
      </c>
    </row>
    <row r="56" spans="1:3" x14ac:dyDescent="0.25">
      <c r="A56" s="1" t="s">
        <v>5</v>
      </c>
      <c r="B56" s="1" t="str">
        <f t="shared" si="3"/>
        <v>Transportation &amp; Warehousing</v>
      </c>
      <c r="C56" s="1">
        <v>-13</v>
      </c>
    </row>
    <row r="57" spans="1:3" x14ac:dyDescent="0.25">
      <c r="A57" s="1" t="s">
        <v>6</v>
      </c>
      <c r="B57" s="1" t="str">
        <f t="shared" si="3"/>
        <v>Wholesale Trade</v>
      </c>
      <c r="C57" s="1">
        <v>-12</v>
      </c>
    </row>
    <row r="58" spans="1:3" x14ac:dyDescent="0.25">
      <c r="A58" s="1" t="s">
        <v>7</v>
      </c>
      <c r="B58" s="1" t="str">
        <f t="shared" si="3"/>
        <v>Construction</v>
      </c>
      <c r="C58" s="1">
        <v>-11</v>
      </c>
    </row>
    <row r="59" spans="1:3" x14ac:dyDescent="0.25">
      <c r="A59" s="1" t="s">
        <v>9</v>
      </c>
      <c r="B59" s="1" t="str">
        <f t="shared" si="3"/>
        <v>Management of Companies &amp; Support Services</v>
      </c>
      <c r="C59" s="1">
        <v>-10</v>
      </c>
    </row>
    <row r="60" spans="1:3" x14ac:dyDescent="0.25">
      <c r="A60" s="1" t="s">
        <v>8</v>
      </c>
      <c r="B60" s="1" t="str">
        <f t="shared" si="3"/>
        <v>Retail Trade</v>
      </c>
      <c r="C60" s="1">
        <v>-9</v>
      </c>
    </row>
    <row r="61" spans="1:3" x14ac:dyDescent="0.25">
      <c r="A61" s="1" t="s">
        <v>17</v>
      </c>
      <c r="B61" s="1" t="str">
        <f t="shared" si="3"/>
        <v>Information</v>
      </c>
      <c r="C61" s="1">
        <v>-8</v>
      </c>
    </row>
    <row r="62" spans="1:3" x14ac:dyDescent="0.25">
      <c r="A62" s="1" t="s">
        <v>22</v>
      </c>
      <c r="B62" s="1" t="str">
        <f t="shared" si="3"/>
        <v>Other Services</v>
      </c>
      <c r="C62" s="1">
        <v>-7</v>
      </c>
    </row>
    <row r="63" spans="1:3" x14ac:dyDescent="0.25">
      <c r="A63" s="1" t="s">
        <v>4</v>
      </c>
      <c r="B63" s="1" t="str">
        <f t="shared" si="3"/>
        <v>Accommodation &amp; Food Services</v>
      </c>
      <c r="C63" s="1">
        <v>-6</v>
      </c>
    </row>
    <row r="64" spans="1:3" x14ac:dyDescent="0.25">
      <c r="A64" s="1" t="s">
        <v>2</v>
      </c>
      <c r="B64" s="1" t="str">
        <f t="shared" si="3"/>
        <v>Health Care &amp; Social Assistance</v>
      </c>
      <c r="C64" s="1">
        <v>-5</v>
      </c>
    </row>
    <row r="65" spans="1:3" x14ac:dyDescent="0.25">
      <c r="A65" s="1" t="s">
        <v>3</v>
      </c>
      <c r="B65" s="1" t="str">
        <f t="shared" si="3"/>
        <v>Utilities</v>
      </c>
      <c r="C65" s="1">
        <v>-4</v>
      </c>
    </row>
    <row r="66" spans="1:3" x14ac:dyDescent="0.25">
      <c r="A66" s="1" t="s">
        <v>32</v>
      </c>
      <c r="B66" s="1" t="str">
        <f t="shared" si="3"/>
        <v>Professional, Scientific &amp; Technical Services</v>
      </c>
      <c r="C66" s="1">
        <v>-3</v>
      </c>
    </row>
    <row r="67" spans="1:3" x14ac:dyDescent="0.25">
      <c r="A67" s="1" t="s">
        <v>10</v>
      </c>
      <c r="B67" s="1" t="str">
        <f t="shared" si="3"/>
        <v>Public Administration</v>
      </c>
      <c r="C67" s="1">
        <v>-2</v>
      </c>
    </row>
    <row r="68" spans="1:3" x14ac:dyDescent="0.25">
      <c r="A68" s="1" t="s">
        <v>27</v>
      </c>
      <c r="B68" s="1" t="str">
        <f t="shared" si="3"/>
        <v>Educational Services</v>
      </c>
      <c r="C68" s="1">
        <v>-1</v>
      </c>
    </row>
    <row r="69" spans="1:3" x14ac:dyDescent="0.25">
      <c r="B69" s="3"/>
    </row>
    <row r="70" spans="1:3" x14ac:dyDescent="0.25">
      <c r="A70" s="39" t="s">
        <v>26</v>
      </c>
      <c r="B70" s="39"/>
      <c r="C70" s="39"/>
    </row>
    <row r="71" spans="1:3" x14ac:dyDescent="0.25">
      <c r="A71" s="1" t="s">
        <v>35</v>
      </c>
      <c r="B71" s="1" t="str">
        <f t="shared" ref="B71:B84" si="4">TRIM(A71)</f>
        <v>Agriculture, Forestry, Fishing &amp; Hunting</v>
      </c>
      <c r="C71" s="1">
        <v>8</v>
      </c>
    </row>
    <row r="72" spans="1:3" x14ac:dyDescent="0.25">
      <c r="A72" s="1" t="s">
        <v>2</v>
      </c>
      <c r="B72" s="1" t="str">
        <f t="shared" si="4"/>
        <v>Health Care &amp; Social Assistance</v>
      </c>
      <c r="C72" s="1">
        <v>7</v>
      </c>
    </row>
    <row r="73" spans="1:3" x14ac:dyDescent="0.25">
      <c r="A73" s="1" t="s">
        <v>11</v>
      </c>
      <c r="B73" s="1" t="str">
        <f t="shared" si="4"/>
        <v>Finance &amp; Insurance</v>
      </c>
      <c r="C73" s="1">
        <v>6</v>
      </c>
    </row>
    <row r="74" spans="1:3" x14ac:dyDescent="0.25">
      <c r="A74" s="1" t="s">
        <v>3</v>
      </c>
      <c r="B74" s="1" t="str">
        <f t="shared" si="4"/>
        <v>Utilities</v>
      </c>
      <c r="C74" s="1">
        <v>5</v>
      </c>
    </row>
    <row r="75" spans="1:3" x14ac:dyDescent="0.25">
      <c r="A75" s="1" t="s">
        <v>4</v>
      </c>
      <c r="B75" s="1" t="str">
        <f t="shared" si="4"/>
        <v>Accommodation &amp; Food Services</v>
      </c>
      <c r="C75" s="1">
        <v>4</v>
      </c>
    </row>
    <row r="76" spans="1:3" x14ac:dyDescent="0.25">
      <c r="A76" s="1" t="s">
        <v>6</v>
      </c>
      <c r="B76" s="1" t="str">
        <f t="shared" si="4"/>
        <v>Wholesale Trade</v>
      </c>
      <c r="C76" s="1">
        <v>3</v>
      </c>
    </row>
    <row r="77" spans="1:3" x14ac:dyDescent="0.25">
      <c r="A77" s="1" t="s">
        <v>12</v>
      </c>
      <c r="B77" s="1" t="str">
        <f t="shared" si="4"/>
        <v>Educational Services</v>
      </c>
      <c r="C77" s="1">
        <v>2</v>
      </c>
    </row>
    <row r="78" spans="1:3" x14ac:dyDescent="0.25">
      <c r="A78" s="1" t="s">
        <v>10</v>
      </c>
      <c r="B78" s="1" t="str">
        <f t="shared" si="4"/>
        <v>Public Administration</v>
      </c>
      <c r="C78" s="1">
        <v>1</v>
      </c>
    </row>
    <row r="79" spans="1:3" x14ac:dyDescent="0.25">
      <c r="A79" s="1" t="s">
        <v>1</v>
      </c>
      <c r="B79" s="1" t="str">
        <f t="shared" si="4"/>
        <v>Arts, Entertainment &amp; Recreation</v>
      </c>
      <c r="C79" s="1">
        <v>-6</v>
      </c>
    </row>
    <row r="80" spans="1:3" x14ac:dyDescent="0.25">
      <c r="A80" s="1" t="s">
        <v>22</v>
      </c>
      <c r="B80" s="1" t="str">
        <f t="shared" si="4"/>
        <v>Other Services</v>
      </c>
      <c r="C80" s="1">
        <v>-5</v>
      </c>
    </row>
    <row r="81" spans="1:3" x14ac:dyDescent="0.25">
      <c r="A81" s="1" t="s">
        <v>5</v>
      </c>
      <c r="B81" s="1" t="str">
        <f t="shared" si="4"/>
        <v>Transportation &amp; Warehousing</v>
      </c>
      <c r="C81" s="1">
        <v>-4</v>
      </c>
    </row>
    <row r="82" spans="1:3" x14ac:dyDescent="0.25">
      <c r="A82" s="1" t="s">
        <v>14</v>
      </c>
      <c r="B82" s="1" t="str">
        <f t="shared" si="4"/>
        <v>Real Estate, Rental &amp; Leasing</v>
      </c>
      <c r="C82" s="1">
        <v>-3</v>
      </c>
    </row>
    <row r="83" spans="1:3" x14ac:dyDescent="0.25">
      <c r="A83" s="1" t="s">
        <v>32</v>
      </c>
      <c r="B83" s="1" t="str">
        <f t="shared" si="4"/>
        <v>Professional, Scientific &amp; Technical Services</v>
      </c>
      <c r="C83" s="1">
        <v>-2</v>
      </c>
    </row>
    <row r="84" spans="1:3" x14ac:dyDescent="0.25">
      <c r="A84" s="1" t="s">
        <v>28</v>
      </c>
      <c r="B84" s="1" t="str">
        <f t="shared" si="4"/>
        <v>Information</v>
      </c>
      <c r="C84" s="1">
        <v>-1</v>
      </c>
    </row>
    <row r="85" spans="1:3" x14ac:dyDescent="0.25">
      <c r="B85" s="3"/>
    </row>
    <row r="87" spans="1:3" x14ac:dyDescent="0.25">
      <c r="A87" s="39" t="s">
        <v>30</v>
      </c>
      <c r="B87" s="39"/>
      <c r="C87" s="39"/>
    </row>
    <row r="88" spans="1:3" x14ac:dyDescent="0.25">
      <c r="A88" s="1" t="s">
        <v>35</v>
      </c>
      <c r="B88" s="1" t="str">
        <f t="shared" ref="B88:B103" si="5">TRIM(A88)</f>
        <v>Agriculture, Forestry, Fishing &amp; Hunting</v>
      </c>
      <c r="C88" s="1">
        <v>15</v>
      </c>
    </row>
    <row r="89" spans="1:3" x14ac:dyDescent="0.25">
      <c r="A89" s="1" t="s">
        <v>14</v>
      </c>
      <c r="B89" s="1" t="str">
        <f t="shared" si="5"/>
        <v>Real Estate, Rental &amp; Leasing</v>
      </c>
      <c r="C89" s="1">
        <v>14</v>
      </c>
    </row>
    <row r="90" spans="1:3" x14ac:dyDescent="0.25">
      <c r="A90" s="1" t="s">
        <v>5</v>
      </c>
      <c r="B90" s="1" t="str">
        <f t="shared" si="5"/>
        <v>Transportation &amp; Warehousing</v>
      </c>
      <c r="C90" s="1">
        <v>13</v>
      </c>
    </row>
    <row r="91" spans="1:3" x14ac:dyDescent="0.25">
      <c r="A91" s="1" t="s">
        <v>6</v>
      </c>
      <c r="B91" s="1" t="str">
        <f t="shared" si="5"/>
        <v>Wholesale Trade</v>
      </c>
      <c r="C91" s="1">
        <v>12</v>
      </c>
    </row>
    <row r="92" spans="1:3" x14ac:dyDescent="0.25">
      <c r="A92" s="1" t="s">
        <v>9</v>
      </c>
      <c r="B92" s="1" t="str">
        <f t="shared" si="5"/>
        <v>Management of Companies &amp; Support Services</v>
      </c>
      <c r="C92" s="1">
        <v>11</v>
      </c>
    </row>
    <row r="93" spans="1:3" x14ac:dyDescent="0.25">
      <c r="A93" s="1" t="s">
        <v>2</v>
      </c>
      <c r="B93" s="1" t="str">
        <f t="shared" si="5"/>
        <v>Health Care &amp; Social Assistance</v>
      </c>
      <c r="C93" s="1">
        <v>10</v>
      </c>
    </row>
    <row r="94" spans="1:3" x14ac:dyDescent="0.25">
      <c r="A94" s="1" t="s">
        <v>11</v>
      </c>
      <c r="B94" s="1" t="str">
        <f t="shared" si="5"/>
        <v>Finance &amp; Insurance</v>
      </c>
      <c r="C94" s="1">
        <v>9</v>
      </c>
    </row>
    <row r="95" spans="1:3" x14ac:dyDescent="0.25">
      <c r="A95" s="1" t="s">
        <v>3</v>
      </c>
      <c r="B95" s="1" t="str">
        <f t="shared" si="5"/>
        <v>Utilities</v>
      </c>
      <c r="C95" s="1">
        <v>8</v>
      </c>
    </row>
    <row r="96" spans="1:3" x14ac:dyDescent="0.25">
      <c r="A96" s="1" t="s">
        <v>4</v>
      </c>
      <c r="B96" s="1" t="str">
        <f t="shared" si="5"/>
        <v>Accommodation &amp; Food Services</v>
      </c>
      <c r="C96" s="1">
        <v>7</v>
      </c>
    </row>
    <row r="97" spans="1:3" x14ac:dyDescent="0.25">
      <c r="A97" s="1" t="s">
        <v>33</v>
      </c>
      <c r="B97" s="1" t="str">
        <f t="shared" si="5"/>
        <v>Mining</v>
      </c>
      <c r="C97" s="1">
        <v>6</v>
      </c>
    </row>
    <row r="98" spans="1:3" x14ac:dyDescent="0.25">
      <c r="A98" s="1" t="s">
        <v>7</v>
      </c>
      <c r="B98" s="1" t="str">
        <f t="shared" si="5"/>
        <v>Construction</v>
      </c>
      <c r="C98" s="1">
        <v>5</v>
      </c>
    </row>
    <row r="99" spans="1:3" x14ac:dyDescent="0.25">
      <c r="A99" s="1" t="s">
        <v>10</v>
      </c>
      <c r="B99" s="1" t="str">
        <f t="shared" si="5"/>
        <v>Public Administration</v>
      </c>
      <c r="C99" s="1">
        <v>4</v>
      </c>
    </row>
    <row r="100" spans="1:3" x14ac:dyDescent="0.25">
      <c r="A100" s="1" t="s">
        <v>17</v>
      </c>
      <c r="B100" s="1" t="str">
        <f t="shared" si="5"/>
        <v>Information</v>
      </c>
      <c r="C100" s="1">
        <v>3</v>
      </c>
    </row>
    <row r="101" spans="1:3" x14ac:dyDescent="0.25">
      <c r="A101" s="1" t="s">
        <v>32</v>
      </c>
      <c r="B101" s="1" t="str">
        <f t="shared" si="5"/>
        <v>Professional, Scientific &amp; Technical Services</v>
      </c>
      <c r="C101" s="1">
        <v>2</v>
      </c>
    </row>
    <row r="102" spans="1:3" x14ac:dyDescent="0.25">
      <c r="A102" s="1" t="s">
        <v>27</v>
      </c>
      <c r="B102" s="1" t="str">
        <f t="shared" si="5"/>
        <v>Educational Services</v>
      </c>
      <c r="C102" s="1">
        <v>1</v>
      </c>
    </row>
    <row r="103" spans="1:3" x14ac:dyDescent="0.25">
      <c r="A103" s="1" t="s">
        <v>25</v>
      </c>
      <c r="B103" s="1" t="str">
        <f t="shared" si="5"/>
        <v>Retail Trade</v>
      </c>
      <c r="C103" s="2">
        <v>-1</v>
      </c>
    </row>
    <row r="105" spans="1:3" x14ac:dyDescent="0.25">
      <c r="A105" s="39" t="s">
        <v>3818</v>
      </c>
      <c r="B105" s="39"/>
      <c r="C105" s="39"/>
    </row>
    <row r="106" spans="1:3" x14ac:dyDescent="0.25">
      <c r="A106" s="2" t="s">
        <v>38</v>
      </c>
      <c r="B106" s="1" t="str">
        <f t="shared" ref="B106:B123" si="6">TRIM(A106)</f>
        <v>Transportation &amp; Warehousing</v>
      </c>
      <c r="C106" s="2">
        <v>14</v>
      </c>
    </row>
    <row r="107" spans="1:3" x14ac:dyDescent="0.25">
      <c r="A107" s="2" t="s">
        <v>9</v>
      </c>
      <c r="B107" s="1" t="str">
        <f t="shared" si="6"/>
        <v>Management of Companies &amp; Support Services</v>
      </c>
      <c r="C107" s="2">
        <v>13</v>
      </c>
    </row>
    <row r="108" spans="1:3" x14ac:dyDescent="0.25">
      <c r="A108" s="2" t="s">
        <v>2</v>
      </c>
      <c r="B108" s="1" t="str">
        <f t="shared" si="6"/>
        <v>Health Care &amp; Social Assistance</v>
      </c>
      <c r="C108" s="2">
        <v>12</v>
      </c>
    </row>
    <row r="109" spans="1:3" x14ac:dyDescent="0.25">
      <c r="A109" s="2" t="s">
        <v>3</v>
      </c>
      <c r="B109" s="1" t="str">
        <f t="shared" si="6"/>
        <v>Utilities</v>
      </c>
      <c r="C109" s="2">
        <v>11</v>
      </c>
    </row>
    <row r="110" spans="1:3" x14ac:dyDescent="0.25">
      <c r="A110" s="2" t="s">
        <v>4</v>
      </c>
      <c r="B110" s="1" t="str">
        <f t="shared" si="6"/>
        <v>Accommodation &amp; Food Services</v>
      </c>
      <c r="C110" s="2">
        <v>10</v>
      </c>
    </row>
    <row r="111" spans="1:3" x14ac:dyDescent="0.25">
      <c r="A111" s="2" t="s">
        <v>11</v>
      </c>
      <c r="B111" s="1" t="str">
        <f t="shared" si="6"/>
        <v>Finance &amp; Insurance</v>
      </c>
      <c r="C111" s="2">
        <v>9</v>
      </c>
    </row>
    <row r="112" spans="1:3" x14ac:dyDescent="0.25">
      <c r="A112" s="2" t="s">
        <v>32</v>
      </c>
      <c r="B112" s="1" t="str">
        <f t="shared" si="6"/>
        <v>Professional, Scientific &amp; Technical Services</v>
      </c>
      <c r="C112" s="2">
        <v>8</v>
      </c>
    </row>
    <row r="113" spans="1:3" x14ac:dyDescent="0.25">
      <c r="A113" s="2" t="s">
        <v>8</v>
      </c>
      <c r="B113" s="1" t="str">
        <f t="shared" si="6"/>
        <v>Retail Trade</v>
      </c>
      <c r="C113" s="2">
        <v>7</v>
      </c>
    </row>
    <row r="114" spans="1:3" x14ac:dyDescent="0.25">
      <c r="A114" s="2" t="s">
        <v>33</v>
      </c>
      <c r="B114" s="1" t="str">
        <f t="shared" si="6"/>
        <v>Mining</v>
      </c>
      <c r="C114" s="2">
        <v>6</v>
      </c>
    </row>
    <row r="115" spans="1:3" x14ac:dyDescent="0.25">
      <c r="A115" s="2" t="s">
        <v>7</v>
      </c>
      <c r="B115" s="1" t="str">
        <f t="shared" si="6"/>
        <v>Construction</v>
      </c>
      <c r="C115" s="2">
        <v>5</v>
      </c>
    </row>
    <row r="116" spans="1:3" x14ac:dyDescent="0.25">
      <c r="A116" s="2" t="s">
        <v>6</v>
      </c>
      <c r="B116" s="1" t="str">
        <f t="shared" si="6"/>
        <v>Wholesale Trade</v>
      </c>
      <c r="C116" s="2">
        <v>4</v>
      </c>
    </row>
    <row r="117" spans="1:3" x14ac:dyDescent="0.25">
      <c r="A117" s="2" t="s">
        <v>10</v>
      </c>
      <c r="B117" s="1" t="str">
        <f t="shared" si="6"/>
        <v>Public Administration</v>
      </c>
      <c r="C117" s="2">
        <v>3</v>
      </c>
    </row>
    <row r="118" spans="1:3" x14ac:dyDescent="0.25">
      <c r="A118" s="2" t="s">
        <v>17</v>
      </c>
      <c r="B118" s="1" t="str">
        <f t="shared" si="6"/>
        <v>Information</v>
      </c>
      <c r="C118" s="2">
        <v>2</v>
      </c>
    </row>
    <row r="119" spans="1:3" x14ac:dyDescent="0.25">
      <c r="A119" s="2" t="s">
        <v>27</v>
      </c>
      <c r="B119" s="1" t="str">
        <f t="shared" si="6"/>
        <v>Educational Services</v>
      </c>
      <c r="C119" s="2">
        <v>1</v>
      </c>
    </row>
    <row r="120" spans="1:3" x14ac:dyDescent="0.25">
      <c r="A120" s="2" t="s">
        <v>1</v>
      </c>
      <c r="B120" s="1" t="str">
        <f t="shared" si="6"/>
        <v>Arts, Entertainment &amp; Recreation</v>
      </c>
      <c r="C120" s="2">
        <v>-4</v>
      </c>
    </row>
    <row r="121" spans="1:3" x14ac:dyDescent="0.25">
      <c r="A121" s="2" t="s">
        <v>14</v>
      </c>
      <c r="B121" s="1" t="str">
        <f t="shared" si="6"/>
        <v>Real Estate, Rental &amp; Leasing</v>
      </c>
      <c r="C121" s="2">
        <v>-3</v>
      </c>
    </row>
    <row r="122" spans="1:3" x14ac:dyDescent="0.25">
      <c r="A122" s="2" t="s">
        <v>22</v>
      </c>
      <c r="B122" s="1" t="str">
        <f t="shared" si="6"/>
        <v>Other Services</v>
      </c>
      <c r="C122" s="2">
        <v>-2</v>
      </c>
    </row>
    <row r="123" spans="1:3" x14ac:dyDescent="0.25">
      <c r="A123" s="2" t="s">
        <v>35</v>
      </c>
      <c r="B123" s="1" t="str">
        <f t="shared" si="6"/>
        <v>Agriculture, Forestry, Fishing &amp; Hunting</v>
      </c>
      <c r="C123" s="2">
        <v>-1</v>
      </c>
    </row>
  </sheetData>
  <mergeCells count="7">
    <mergeCell ref="A105:C105"/>
    <mergeCell ref="A87:C87"/>
    <mergeCell ref="A1:C1"/>
    <mergeCell ref="A21:C21"/>
    <mergeCell ref="A39:C39"/>
    <mergeCell ref="A54:C54"/>
    <mergeCell ref="A70:C70"/>
  </mergeCells>
  <pageMargins left="0.7" right="0.7" top="0.75" bottom="0.75" header="0.51180555555555496" footer="0.51180555555555496"/>
  <pageSetup paperSize="9" firstPageNumber="0"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G123"/>
  <sheetViews>
    <sheetView zoomScaleNormal="100" workbookViewId="0">
      <selection activeCell="F1" sqref="F1:F1048576"/>
    </sheetView>
  </sheetViews>
  <sheetFormatPr defaultRowHeight="15" x14ac:dyDescent="0.25"/>
  <cols>
    <col min="1" max="1" width="40.42578125" customWidth="1"/>
    <col min="2" max="2" width="43.42578125" bestFit="1" customWidth="1"/>
    <col min="3" max="7" width="8.7109375" customWidth="1"/>
    <col min="9" max="1025" width="8.7109375" customWidth="1"/>
  </cols>
  <sheetData>
    <row r="1" spans="1:7" x14ac:dyDescent="0.25">
      <c r="A1" s="39" t="s">
        <v>0</v>
      </c>
      <c r="B1" s="39"/>
      <c r="C1" s="39"/>
    </row>
    <row r="2" spans="1:7" x14ac:dyDescent="0.25">
      <c r="A2" s="1" t="s">
        <v>41</v>
      </c>
      <c r="B2" s="1" t="str">
        <f t="shared" ref="B2:B19" si="0">TRIM(A2)</f>
        <v>Management of Companies &amp; Support Services</v>
      </c>
      <c r="C2" s="1">
        <v>14</v>
      </c>
    </row>
    <row r="3" spans="1:7" x14ac:dyDescent="0.25">
      <c r="A3" s="1" t="s">
        <v>6</v>
      </c>
      <c r="B3" s="1" t="str">
        <f t="shared" si="0"/>
        <v>Wholesale Trade</v>
      </c>
      <c r="C3" s="1">
        <v>13</v>
      </c>
      <c r="F3" t="s">
        <v>31</v>
      </c>
      <c r="G3" s="29" t="s">
        <v>3999</v>
      </c>
    </row>
    <row r="4" spans="1:7" x14ac:dyDescent="0.25">
      <c r="A4" s="1" t="s">
        <v>8</v>
      </c>
      <c r="B4" s="1" t="str">
        <f t="shared" si="0"/>
        <v>Retail Trade</v>
      </c>
      <c r="C4" s="1">
        <v>12</v>
      </c>
      <c r="F4" t="s">
        <v>20</v>
      </c>
      <c r="G4" s="29" t="s">
        <v>4000</v>
      </c>
    </row>
    <row r="5" spans="1:7" x14ac:dyDescent="0.25">
      <c r="A5" s="1" t="s">
        <v>2</v>
      </c>
      <c r="B5" s="1" t="str">
        <f t="shared" si="0"/>
        <v>Health Care &amp; Social Assistance</v>
      </c>
      <c r="C5" s="1">
        <v>11</v>
      </c>
      <c r="F5" t="s">
        <v>27</v>
      </c>
      <c r="G5" s="29" t="s">
        <v>4001</v>
      </c>
    </row>
    <row r="6" spans="1:7" x14ac:dyDescent="0.25">
      <c r="A6" s="1" t="s">
        <v>5</v>
      </c>
      <c r="B6" s="1" t="str">
        <f t="shared" si="0"/>
        <v>Transportation &amp; Warehousing</v>
      </c>
      <c r="C6" s="1">
        <v>10</v>
      </c>
      <c r="F6" t="s">
        <v>43</v>
      </c>
      <c r="G6" s="29" t="s">
        <v>4002</v>
      </c>
    </row>
    <row r="7" spans="1:7" x14ac:dyDescent="0.25">
      <c r="A7" s="1" t="s">
        <v>11</v>
      </c>
      <c r="B7" s="1" t="str">
        <f t="shared" si="0"/>
        <v>Finance &amp; Insurance</v>
      </c>
      <c r="C7" s="1">
        <v>9</v>
      </c>
      <c r="F7" t="s">
        <v>15</v>
      </c>
      <c r="G7" s="29" t="s">
        <v>4003</v>
      </c>
    </row>
    <row r="8" spans="1:7" x14ac:dyDescent="0.25">
      <c r="A8" s="1" t="s">
        <v>3</v>
      </c>
      <c r="B8" s="1" t="str">
        <f t="shared" si="0"/>
        <v>Utilities</v>
      </c>
      <c r="C8" s="1">
        <v>8</v>
      </c>
      <c r="F8" t="s">
        <v>29</v>
      </c>
      <c r="G8" s="29" t="s">
        <v>4004</v>
      </c>
    </row>
    <row r="9" spans="1:7" x14ac:dyDescent="0.25">
      <c r="A9" s="1" t="s">
        <v>13</v>
      </c>
      <c r="B9" s="1" t="str">
        <f t="shared" si="0"/>
        <v>Agriculture, Forestry, Fishing &amp; Hunting</v>
      </c>
      <c r="C9" s="1">
        <v>7</v>
      </c>
      <c r="F9" t="s">
        <v>38</v>
      </c>
      <c r="G9" s="29" t="s">
        <v>4005</v>
      </c>
    </row>
    <row r="10" spans="1:7" x14ac:dyDescent="0.25">
      <c r="A10" s="1" t="s">
        <v>17</v>
      </c>
      <c r="B10" s="1" t="str">
        <f t="shared" si="0"/>
        <v>Information</v>
      </c>
      <c r="C10" s="1">
        <v>6</v>
      </c>
      <c r="F10" t="s">
        <v>40</v>
      </c>
      <c r="G10" s="29" t="s">
        <v>4006</v>
      </c>
    </row>
    <row r="11" spans="1:7" x14ac:dyDescent="0.25">
      <c r="A11" s="1" t="s">
        <v>32</v>
      </c>
      <c r="B11" s="1" t="str">
        <f t="shared" si="0"/>
        <v>Professional, Scientific &amp; Technical Services</v>
      </c>
      <c r="C11" s="1">
        <v>5</v>
      </c>
      <c r="F11" t="s">
        <v>36</v>
      </c>
      <c r="G11" s="29" t="s">
        <v>4007</v>
      </c>
    </row>
    <row r="12" spans="1:7" x14ac:dyDescent="0.25">
      <c r="A12" s="1" t="s">
        <v>33</v>
      </c>
      <c r="B12" s="1" t="str">
        <f t="shared" si="0"/>
        <v>Mining</v>
      </c>
      <c r="C12" s="1">
        <v>4</v>
      </c>
    </row>
    <row r="13" spans="1:7" x14ac:dyDescent="0.25">
      <c r="A13" s="1" t="s">
        <v>10</v>
      </c>
      <c r="B13" s="1" t="str">
        <f t="shared" si="0"/>
        <v>Public Administration</v>
      </c>
      <c r="C13" s="1">
        <v>3</v>
      </c>
    </row>
    <row r="14" spans="1:7" x14ac:dyDescent="0.25">
      <c r="A14" s="1" t="s">
        <v>7</v>
      </c>
      <c r="B14" s="1" t="str">
        <f t="shared" si="0"/>
        <v>Construction</v>
      </c>
      <c r="C14" s="1">
        <v>2</v>
      </c>
    </row>
    <row r="15" spans="1:7" x14ac:dyDescent="0.25">
      <c r="A15" s="1" t="s">
        <v>27</v>
      </c>
      <c r="B15" s="1" t="str">
        <f t="shared" si="0"/>
        <v>Educational Services</v>
      </c>
      <c r="C15" s="1">
        <v>1</v>
      </c>
    </row>
    <row r="16" spans="1:7" x14ac:dyDescent="0.25">
      <c r="A16" s="1" t="s">
        <v>42</v>
      </c>
      <c r="B16" s="1" t="str">
        <f t="shared" si="0"/>
        <v>Arts, Entertainment &amp; Recreation</v>
      </c>
      <c r="C16" s="1">
        <v>-4</v>
      </c>
    </row>
    <row r="17" spans="1:3" x14ac:dyDescent="0.25">
      <c r="A17" s="1" t="s">
        <v>4</v>
      </c>
      <c r="B17" s="1" t="str">
        <f t="shared" si="0"/>
        <v>Accommodation &amp; Food Services</v>
      </c>
      <c r="C17" s="1">
        <v>-3</v>
      </c>
    </row>
    <row r="18" spans="1:3" x14ac:dyDescent="0.25">
      <c r="A18" s="1" t="s">
        <v>22</v>
      </c>
      <c r="B18" s="1" t="str">
        <f t="shared" si="0"/>
        <v>Other Services</v>
      </c>
      <c r="C18" s="1">
        <v>-2</v>
      </c>
    </row>
    <row r="19" spans="1:3" x14ac:dyDescent="0.25">
      <c r="A19" s="1" t="s">
        <v>29</v>
      </c>
      <c r="B19" s="1" t="str">
        <f t="shared" si="0"/>
        <v>Real Estate, Rental &amp; Leasing</v>
      </c>
      <c r="C19" s="1">
        <v>-1</v>
      </c>
    </row>
    <row r="21" spans="1:3" x14ac:dyDescent="0.25">
      <c r="A21" s="39" t="s">
        <v>19</v>
      </c>
      <c r="B21" s="39"/>
      <c r="C21" s="39"/>
    </row>
    <row r="22" spans="1:3" x14ac:dyDescent="0.25">
      <c r="A22" s="1" t="s">
        <v>41</v>
      </c>
      <c r="B22" s="1" t="str">
        <f t="shared" ref="B22:B36" si="1">TRIM(A22)</f>
        <v>Management of Companies &amp; Support Services</v>
      </c>
      <c r="C22" s="1">
        <v>10</v>
      </c>
    </row>
    <row r="23" spans="1:3" x14ac:dyDescent="0.25">
      <c r="A23" s="1" t="s">
        <v>8</v>
      </c>
      <c r="B23" s="1" t="str">
        <f t="shared" si="1"/>
        <v>Retail Trade</v>
      </c>
      <c r="C23" s="1">
        <v>9</v>
      </c>
    </row>
    <row r="24" spans="1:3" x14ac:dyDescent="0.25">
      <c r="A24" s="1" t="s">
        <v>2</v>
      </c>
      <c r="B24" s="1" t="str">
        <f t="shared" si="1"/>
        <v>Health Care &amp; Social Assistance</v>
      </c>
      <c r="C24" s="1">
        <v>8</v>
      </c>
    </row>
    <row r="25" spans="1:3" x14ac:dyDescent="0.25">
      <c r="A25" s="1" t="s">
        <v>5</v>
      </c>
      <c r="B25" s="1" t="str">
        <f t="shared" si="1"/>
        <v>Transportation &amp; Warehousing</v>
      </c>
      <c r="C25" s="1">
        <v>7</v>
      </c>
    </row>
    <row r="26" spans="1:3" x14ac:dyDescent="0.25">
      <c r="A26" s="1" t="s">
        <v>6</v>
      </c>
      <c r="B26" s="1" t="str">
        <f t="shared" si="1"/>
        <v>Wholesale Trade</v>
      </c>
      <c r="C26" s="1">
        <v>6</v>
      </c>
    </row>
    <row r="27" spans="1:3" x14ac:dyDescent="0.25">
      <c r="A27" s="1" t="s">
        <v>11</v>
      </c>
      <c r="B27" s="1" t="str">
        <f t="shared" si="1"/>
        <v>Finance &amp; Insurance</v>
      </c>
      <c r="C27" s="1">
        <v>5</v>
      </c>
    </row>
    <row r="28" spans="1:3" x14ac:dyDescent="0.25">
      <c r="A28" s="1" t="s">
        <v>17</v>
      </c>
      <c r="B28" s="1" t="str">
        <f t="shared" si="1"/>
        <v>Information</v>
      </c>
      <c r="C28" s="1">
        <v>4</v>
      </c>
    </row>
    <row r="29" spans="1:3" x14ac:dyDescent="0.25">
      <c r="A29" s="1" t="s">
        <v>7</v>
      </c>
      <c r="B29" s="1" t="str">
        <f t="shared" si="1"/>
        <v>Construction</v>
      </c>
      <c r="C29" s="1">
        <v>3</v>
      </c>
    </row>
    <row r="30" spans="1:3" x14ac:dyDescent="0.25">
      <c r="A30" s="1" t="s">
        <v>10</v>
      </c>
      <c r="B30" s="1" t="str">
        <f t="shared" si="1"/>
        <v>Public Administration</v>
      </c>
      <c r="C30" s="1">
        <v>2</v>
      </c>
    </row>
    <row r="31" spans="1:3" x14ac:dyDescent="0.25">
      <c r="A31" s="1" t="s">
        <v>15</v>
      </c>
      <c r="B31" s="1" t="str">
        <f t="shared" si="1"/>
        <v>Professional, Scientific &amp; Technical Services</v>
      </c>
      <c r="C31" s="1">
        <v>1</v>
      </c>
    </row>
    <row r="32" spans="1:3" x14ac:dyDescent="0.25">
      <c r="A32" s="1" t="s">
        <v>1</v>
      </c>
      <c r="B32" s="1" t="str">
        <f t="shared" si="1"/>
        <v>Arts, Entertainment &amp; Recreation</v>
      </c>
      <c r="C32" s="1">
        <v>-5</v>
      </c>
    </row>
    <row r="33" spans="1:3" x14ac:dyDescent="0.25">
      <c r="A33" s="1" t="s">
        <v>14</v>
      </c>
      <c r="B33" s="1" t="str">
        <f t="shared" si="1"/>
        <v>Real Estate, Rental &amp; Leasing</v>
      </c>
      <c r="C33" s="1">
        <v>-4</v>
      </c>
    </row>
    <row r="34" spans="1:3" x14ac:dyDescent="0.25">
      <c r="A34" s="1" t="s">
        <v>13</v>
      </c>
      <c r="B34" s="1" t="str">
        <f t="shared" si="1"/>
        <v>Agriculture, Forestry, Fishing &amp; Hunting</v>
      </c>
      <c r="C34" s="1">
        <v>-3</v>
      </c>
    </row>
    <row r="35" spans="1:3" x14ac:dyDescent="0.25">
      <c r="A35" s="1" t="s">
        <v>4</v>
      </c>
      <c r="B35" s="1" t="str">
        <f t="shared" si="1"/>
        <v>Accommodation &amp; Food Services</v>
      </c>
      <c r="C35" s="1">
        <v>-2</v>
      </c>
    </row>
    <row r="36" spans="1:3" x14ac:dyDescent="0.25">
      <c r="A36" s="1" t="s">
        <v>18</v>
      </c>
      <c r="B36" s="1" t="str">
        <f t="shared" si="1"/>
        <v>Other Services</v>
      </c>
      <c r="C36" s="1">
        <v>-1</v>
      </c>
    </row>
    <row r="38" spans="1:3" x14ac:dyDescent="0.25">
      <c r="A38" s="39" t="s">
        <v>21</v>
      </c>
      <c r="B38" s="39"/>
      <c r="C38" s="39"/>
    </row>
    <row r="39" spans="1:3" x14ac:dyDescent="0.25">
      <c r="A39" s="1" t="s">
        <v>41</v>
      </c>
      <c r="B39" s="1" t="str">
        <f t="shared" ref="B39:B52" si="2">TRIM(A39)</f>
        <v>Management of Companies &amp; Support Services</v>
      </c>
      <c r="C39" s="1">
        <v>4</v>
      </c>
    </row>
    <row r="40" spans="1:3" x14ac:dyDescent="0.25">
      <c r="A40" s="1" t="s">
        <v>6</v>
      </c>
      <c r="B40" s="1" t="str">
        <f t="shared" si="2"/>
        <v>Wholesale Trade</v>
      </c>
      <c r="C40" s="1">
        <v>3</v>
      </c>
    </row>
    <row r="41" spans="1:3" x14ac:dyDescent="0.25">
      <c r="A41" s="1" t="s">
        <v>3</v>
      </c>
      <c r="B41" s="1" t="str">
        <f t="shared" si="2"/>
        <v>Utilities</v>
      </c>
      <c r="C41" s="1">
        <v>2</v>
      </c>
    </row>
    <row r="42" spans="1:3" x14ac:dyDescent="0.25">
      <c r="A42" s="1" t="s">
        <v>23</v>
      </c>
      <c r="B42" s="1" t="str">
        <f t="shared" si="2"/>
        <v>Finance &amp; Insurance</v>
      </c>
      <c r="C42" s="1">
        <v>1</v>
      </c>
    </row>
    <row r="43" spans="1:3" x14ac:dyDescent="0.25">
      <c r="A43" s="1" t="s">
        <v>1</v>
      </c>
      <c r="B43" s="1" t="str">
        <f t="shared" si="2"/>
        <v>Arts, Entertainment &amp; Recreation</v>
      </c>
      <c r="C43" s="1">
        <v>-10</v>
      </c>
    </row>
    <row r="44" spans="1:3" x14ac:dyDescent="0.25">
      <c r="A44" s="1" t="s">
        <v>14</v>
      </c>
      <c r="B44" s="1" t="str">
        <f t="shared" si="2"/>
        <v>Real Estate, Rental &amp; Leasing</v>
      </c>
      <c r="C44" s="1">
        <v>-9</v>
      </c>
    </row>
    <row r="45" spans="1:3" x14ac:dyDescent="0.25">
      <c r="A45" s="1" t="s">
        <v>33</v>
      </c>
      <c r="B45" s="1" t="str">
        <f t="shared" si="2"/>
        <v>Mining</v>
      </c>
      <c r="C45" s="1">
        <v>-8</v>
      </c>
    </row>
    <row r="46" spans="1:3" x14ac:dyDescent="0.25">
      <c r="A46" s="1" t="s">
        <v>4</v>
      </c>
      <c r="B46" s="1" t="str">
        <f t="shared" si="2"/>
        <v>Accommodation &amp; Food Services</v>
      </c>
      <c r="C46" s="1">
        <v>-7</v>
      </c>
    </row>
    <row r="47" spans="1:3" x14ac:dyDescent="0.25">
      <c r="A47" s="1" t="s">
        <v>32</v>
      </c>
      <c r="B47" s="1" t="str">
        <f t="shared" si="2"/>
        <v>Professional, Scientific &amp; Technical Services</v>
      </c>
      <c r="C47" s="1">
        <v>-6</v>
      </c>
    </row>
    <row r="48" spans="1:3" x14ac:dyDescent="0.25">
      <c r="A48" s="1" t="s">
        <v>5</v>
      </c>
      <c r="B48" s="1" t="str">
        <f t="shared" si="2"/>
        <v>Transportation &amp; Warehousing</v>
      </c>
      <c r="C48" s="1">
        <v>-5</v>
      </c>
    </row>
    <row r="49" spans="1:3" x14ac:dyDescent="0.25">
      <c r="A49" s="1" t="s">
        <v>22</v>
      </c>
      <c r="B49" s="1" t="str">
        <f t="shared" si="2"/>
        <v>Other Services</v>
      </c>
      <c r="C49" s="1">
        <v>-4</v>
      </c>
    </row>
    <row r="50" spans="1:3" x14ac:dyDescent="0.25">
      <c r="A50" s="1" t="s">
        <v>17</v>
      </c>
      <c r="B50" s="1" t="str">
        <f t="shared" si="2"/>
        <v>Information</v>
      </c>
      <c r="C50" s="1">
        <v>-3</v>
      </c>
    </row>
    <row r="51" spans="1:3" x14ac:dyDescent="0.25">
      <c r="A51" s="1" t="s">
        <v>7</v>
      </c>
      <c r="B51" s="1" t="str">
        <f t="shared" si="2"/>
        <v>Construction</v>
      </c>
      <c r="C51" s="1">
        <v>-2</v>
      </c>
    </row>
    <row r="52" spans="1:3" x14ac:dyDescent="0.25">
      <c r="A52" s="1" t="s">
        <v>43</v>
      </c>
      <c r="B52" s="1" t="str">
        <f t="shared" si="2"/>
        <v>Health Care &amp; Social Assistance</v>
      </c>
      <c r="C52" s="1">
        <v>-1</v>
      </c>
    </row>
    <row r="54" spans="1:3" x14ac:dyDescent="0.25">
      <c r="A54" s="39" t="s">
        <v>24</v>
      </c>
      <c r="B54" s="39"/>
      <c r="C54" s="39"/>
    </row>
    <row r="55" spans="1:3" x14ac:dyDescent="0.25">
      <c r="A55" s="1" t="s">
        <v>36</v>
      </c>
      <c r="B55" s="1" t="str">
        <f t="shared" ref="B55:B71" si="3">TRIM(A55)</f>
        <v>Wholesale Trade</v>
      </c>
      <c r="C55" s="1">
        <v>-17</v>
      </c>
    </row>
    <row r="56" spans="1:3" x14ac:dyDescent="0.25">
      <c r="A56" s="1" t="s">
        <v>14</v>
      </c>
      <c r="B56" s="1" t="str">
        <f t="shared" si="3"/>
        <v>Real Estate, Rental &amp; Leasing</v>
      </c>
      <c r="C56" s="1">
        <v>-16</v>
      </c>
    </row>
    <row r="57" spans="1:3" x14ac:dyDescent="0.25">
      <c r="A57" s="1" t="s">
        <v>13</v>
      </c>
      <c r="B57" s="1" t="str">
        <f t="shared" si="3"/>
        <v>Agriculture, Forestry, Fishing &amp; Hunting</v>
      </c>
      <c r="C57" s="1">
        <v>-15</v>
      </c>
    </row>
    <row r="58" spans="1:3" x14ac:dyDescent="0.25">
      <c r="A58" s="1" t="s">
        <v>9</v>
      </c>
      <c r="B58" s="1" t="str">
        <f t="shared" si="3"/>
        <v>Management of Companies &amp; Support Services</v>
      </c>
      <c r="C58" s="1">
        <v>-14</v>
      </c>
    </row>
    <row r="59" spans="1:3" x14ac:dyDescent="0.25">
      <c r="A59" s="1" t="s">
        <v>8</v>
      </c>
      <c r="B59" s="1" t="str">
        <f t="shared" si="3"/>
        <v>Retail Trade</v>
      </c>
      <c r="C59" s="1">
        <v>-13</v>
      </c>
    </row>
    <row r="60" spans="1:3" x14ac:dyDescent="0.25">
      <c r="A60" s="1" t="s">
        <v>32</v>
      </c>
      <c r="B60" s="1" t="str">
        <f t="shared" si="3"/>
        <v>Professional, Scientific &amp; Technical Services</v>
      </c>
      <c r="C60" s="1">
        <v>-12</v>
      </c>
    </row>
    <row r="61" spans="1:3" x14ac:dyDescent="0.25">
      <c r="A61" s="1" t="s">
        <v>2</v>
      </c>
      <c r="B61" s="1" t="str">
        <f t="shared" si="3"/>
        <v>Health Care &amp; Social Assistance</v>
      </c>
      <c r="C61" s="1">
        <v>-11</v>
      </c>
    </row>
    <row r="62" spans="1:3" x14ac:dyDescent="0.25">
      <c r="A62" s="1" t="s">
        <v>3</v>
      </c>
      <c r="B62" s="1" t="str">
        <f t="shared" si="3"/>
        <v>Utilities</v>
      </c>
      <c r="C62" s="1">
        <v>-10</v>
      </c>
    </row>
    <row r="63" spans="1:3" x14ac:dyDescent="0.25">
      <c r="A63" s="1" t="s">
        <v>4</v>
      </c>
      <c r="B63" s="1" t="str">
        <f t="shared" si="3"/>
        <v>Accommodation &amp; Food Services</v>
      </c>
      <c r="C63" s="1">
        <v>-9</v>
      </c>
    </row>
    <row r="64" spans="1:3" x14ac:dyDescent="0.25">
      <c r="A64" s="1" t="s">
        <v>33</v>
      </c>
      <c r="B64" s="1" t="str">
        <f t="shared" si="3"/>
        <v>Mining</v>
      </c>
      <c r="C64" s="1">
        <v>-8</v>
      </c>
    </row>
    <row r="65" spans="1:3" x14ac:dyDescent="0.25">
      <c r="A65" s="1" t="s">
        <v>7</v>
      </c>
      <c r="B65" s="1" t="str">
        <f t="shared" si="3"/>
        <v>Construction</v>
      </c>
      <c r="C65" s="1">
        <v>-7</v>
      </c>
    </row>
    <row r="66" spans="1:3" x14ac:dyDescent="0.25">
      <c r="A66" s="1" t="s">
        <v>22</v>
      </c>
      <c r="B66" s="1" t="str">
        <f t="shared" si="3"/>
        <v>Other Services</v>
      </c>
      <c r="C66" s="1">
        <v>-6</v>
      </c>
    </row>
    <row r="67" spans="1:3" x14ac:dyDescent="0.25">
      <c r="A67" s="1" t="s">
        <v>5</v>
      </c>
      <c r="B67" s="1" t="str">
        <f t="shared" si="3"/>
        <v>Transportation &amp; Warehousing</v>
      </c>
      <c r="C67" s="1">
        <v>-5</v>
      </c>
    </row>
    <row r="68" spans="1:3" x14ac:dyDescent="0.25">
      <c r="A68" s="1" t="s">
        <v>12</v>
      </c>
      <c r="B68" s="1" t="str">
        <f t="shared" si="3"/>
        <v>Educational Services</v>
      </c>
      <c r="C68" s="1">
        <v>-4</v>
      </c>
    </row>
    <row r="69" spans="1:3" x14ac:dyDescent="0.25">
      <c r="A69" s="1" t="s">
        <v>10</v>
      </c>
      <c r="B69" s="1" t="str">
        <f t="shared" si="3"/>
        <v>Public Administration</v>
      </c>
      <c r="C69" s="1">
        <v>-3</v>
      </c>
    </row>
    <row r="70" spans="1:3" x14ac:dyDescent="0.25">
      <c r="A70" s="1" t="s">
        <v>11</v>
      </c>
      <c r="B70" s="1" t="str">
        <f t="shared" si="3"/>
        <v>Finance &amp; Insurance</v>
      </c>
      <c r="C70" s="1">
        <v>-2</v>
      </c>
    </row>
    <row r="71" spans="1:3" x14ac:dyDescent="0.25">
      <c r="A71" s="1" t="s">
        <v>28</v>
      </c>
      <c r="B71" s="1" t="str">
        <f t="shared" si="3"/>
        <v>Information</v>
      </c>
      <c r="C71" s="1">
        <v>-1</v>
      </c>
    </row>
    <row r="73" spans="1:3" x14ac:dyDescent="0.25">
      <c r="A73" s="39" t="s">
        <v>26</v>
      </c>
      <c r="B73" s="39"/>
      <c r="C73" s="39"/>
    </row>
    <row r="74" spans="1:3" x14ac:dyDescent="0.25">
      <c r="A74" s="1" t="s">
        <v>1</v>
      </c>
      <c r="B74" s="1" t="str">
        <f t="shared" ref="B74:B89" si="4">TRIM(A74)</f>
        <v>Arts, Entertainment &amp; Recreation</v>
      </c>
      <c r="C74" s="1">
        <v>11</v>
      </c>
    </row>
    <row r="75" spans="1:3" x14ac:dyDescent="0.25">
      <c r="A75" s="1" t="s">
        <v>13</v>
      </c>
      <c r="B75" s="1" t="str">
        <f t="shared" si="4"/>
        <v>Agriculture, Forestry, Fishing &amp; Hunting</v>
      </c>
      <c r="C75" s="1">
        <v>10</v>
      </c>
    </row>
    <row r="76" spans="1:3" x14ac:dyDescent="0.25">
      <c r="A76" s="1" t="s">
        <v>4</v>
      </c>
      <c r="B76" s="1" t="str">
        <f t="shared" si="4"/>
        <v>Accommodation &amp; Food Services</v>
      </c>
      <c r="C76" s="1">
        <v>9</v>
      </c>
    </row>
    <row r="77" spans="1:3" x14ac:dyDescent="0.25">
      <c r="A77" s="1" t="s">
        <v>8</v>
      </c>
      <c r="B77" s="1" t="str">
        <f t="shared" si="4"/>
        <v>Retail Trade</v>
      </c>
      <c r="C77" s="1">
        <v>8</v>
      </c>
    </row>
    <row r="78" spans="1:3" x14ac:dyDescent="0.25">
      <c r="A78" s="1" t="s">
        <v>14</v>
      </c>
      <c r="B78" s="1" t="str">
        <f t="shared" si="4"/>
        <v>Real Estate, Rental &amp; Leasing</v>
      </c>
      <c r="C78" s="1">
        <v>7</v>
      </c>
    </row>
    <row r="79" spans="1:3" x14ac:dyDescent="0.25">
      <c r="A79" s="1" t="s">
        <v>3</v>
      </c>
      <c r="B79" s="1" t="str">
        <f t="shared" si="4"/>
        <v>Utilities</v>
      </c>
      <c r="C79" s="1">
        <v>6</v>
      </c>
    </row>
    <row r="80" spans="1:3" x14ac:dyDescent="0.25">
      <c r="A80" s="1" t="s">
        <v>2</v>
      </c>
      <c r="B80" s="1" t="str">
        <f t="shared" si="4"/>
        <v>Health Care &amp; Social Assistance</v>
      </c>
      <c r="C80" s="1">
        <v>5</v>
      </c>
    </row>
    <row r="81" spans="1:3" x14ac:dyDescent="0.25">
      <c r="A81" s="1" t="s">
        <v>6</v>
      </c>
      <c r="B81" s="1" t="str">
        <f t="shared" si="4"/>
        <v>Wholesale Trade</v>
      </c>
      <c r="C81" s="1">
        <v>4</v>
      </c>
    </row>
    <row r="82" spans="1:3" x14ac:dyDescent="0.25">
      <c r="A82" s="1" t="s">
        <v>10</v>
      </c>
      <c r="B82" s="1" t="str">
        <f t="shared" si="4"/>
        <v>Public Administration</v>
      </c>
      <c r="C82" s="1">
        <v>3</v>
      </c>
    </row>
    <row r="83" spans="1:3" x14ac:dyDescent="0.25">
      <c r="A83" s="1" t="s">
        <v>32</v>
      </c>
      <c r="B83" s="1" t="str">
        <f t="shared" si="4"/>
        <v>Professional, Scientific &amp; Technical Services</v>
      </c>
      <c r="C83" s="1">
        <v>2</v>
      </c>
    </row>
    <row r="84" spans="1:3" x14ac:dyDescent="0.25">
      <c r="A84" s="1" t="s">
        <v>27</v>
      </c>
      <c r="B84" s="1" t="str">
        <f t="shared" si="4"/>
        <v>Educational Services</v>
      </c>
      <c r="C84" s="1">
        <v>1</v>
      </c>
    </row>
    <row r="85" spans="1:3" x14ac:dyDescent="0.25">
      <c r="A85" s="1" t="s">
        <v>18</v>
      </c>
      <c r="B85" s="1" t="str">
        <f t="shared" si="4"/>
        <v>Other Services</v>
      </c>
      <c r="C85" s="1">
        <v>-5</v>
      </c>
    </row>
    <row r="86" spans="1:3" x14ac:dyDescent="0.25">
      <c r="A86" s="1" t="s">
        <v>33</v>
      </c>
      <c r="B86" s="1" t="str">
        <f t="shared" si="4"/>
        <v>Mining</v>
      </c>
      <c r="C86" s="1">
        <v>-4</v>
      </c>
    </row>
    <row r="87" spans="1:3" x14ac:dyDescent="0.25">
      <c r="A87" s="1" t="s">
        <v>7</v>
      </c>
      <c r="B87" s="1" t="str">
        <f t="shared" si="4"/>
        <v>Construction</v>
      </c>
      <c r="C87" s="1">
        <v>-3</v>
      </c>
    </row>
    <row r="88" spans="1:3" x14ac:dyDescent="0.25">
      <c r="A88" s="1" t="s">
        <v>5</v>
      </c>
      <c r="B88" s="1" t="str">
        <f t="shared" si="4"/>
        <v>Transportation &amp; Warehousing</v>
      </c>
      <c r="C88" s="1">
        <v>-2</v>
      </c>
    </row>
    <row r="89" spans="1:3" x14ac:dyDescent="0.25">
      <c r="A89" s="1" t="s">
        <v>28</v>
      </c>
      <c r="B89" s="1" t="str">
        <f t="shared" si="4"/>
        <v>Information</v>
      </c>
      <c r="C89" s="1">
        <v>-1</v>
      </c>
    </row>
    <row r="91" spans="1:3" x14ac:dyDescent="0.25">
      <c r="A91" s="39" t="s">
        <v>30</v>
      </c>
      <c r="B91" s="39"/>
      <c r="C91" s="39"/>
    </row>
    <row r="92" spans="1:3" x14ac:dyDescent="0.25">
      <c r="A92" s="1" t="s">
        <v>31</v>
      </c>
      <c r="B92" s="1" t="str">
        <f t="shared" ref="B92:B105" si="5">TRIM(A92)</f>
        <v>Accommodation &amp; Food Services</v>
      </c>
      <c r="C92" s="1">
        <v>12</v>
      </c>
    </row>
    <row r="93" spans="1:3" x14ac:dyDescent="0.25">
      <c r="A93" s="1" t="s">
        <v>5</v>
      </c>
      <c r="B93" s="1" t="str">
        <f t="shared" si="5"/>
        <v>Transportation &amp; Warehousing</v>
      </c>
      <c r="C93" s="1">
        <v>11</v>
      </c>
    </row>
    <row r="94" spans="1:3" x14ac:dyDescent="0.25">
      <c r="A94" s="1" t="s">
        <v>6</v>
      </c>
      <c r="B94" s="1" t="str">
        <f t="shared" si="5"/>
        <v>Wholesale Trade</v>
      </c>
      <c r="C94" s="1">
        <v>10</v>
      </c>
    </row>
    <row r="95" spans="1:3" x14ac:dyDescent="0.25">
      <c r="A95" s="1" t="s">
        <v>13</v>
      </c>
      <c r="B95" s="1" t="str">
        <f t="shared" si="5"/>
        <v>Agriculture, Forestry, Fishing &amp; Hunting</v>
      </c>
      <c r="C95" s="1">
        <v>9</v>
      </c>
    </row>
    <row r="96" spans="1:3" x14ac:dyDescent="0.25">
      <c r="A96" s="1" t="s">
        <v>2</v>
      </c>
      <c r="B96" s="1" t="str">
        <f t="shared" si="5"/>
        <v>Health Care &amp; Social Assistance</v>
      </c>
      <c r="C96" s="1">
        <v>8</v>
      </c>
    </row>
    <row r="97" spans="1:3" x14ac:dyDescent="0.25">
      <c r="A97" s="1" t="s">
        <v>11</v>
      </c>
      <c r="B97" s="1" t="str">
        <f t="shared" si="5"/>
        <v>Finance &amp; Insurance</v>
      </c>
      <c r="C97" s="1">
        <v>7</v>
      </c>
    </row>
    <row r="98" spans="1:3" x14ac:dyDescent="0.25">
      <c r="A98" s="1" t="s">
        <v>9</v>
      </c>
      <c r="B98" s="1" t="str">
        <f t="shared" si="5"/>
        <v>Management of Companies &amp; Support Services</v>
      </c>
      <c r="C98" s="1">
        <v>6</v>
      </c>
    </row>
    <row r="99" spans="1:3" x14ac:dyDescent="0.25">
      <c r="A99" s="1" t="s">
        <v>14</v>
      </c>
      <c r="B99" s="1" t="str">
        <f t="shared" si="5"/>
        <v>Real Estate, Rental &amp; Leasing</v>
      </c>
      <c r="C99" s="1">
        <v>5</v>
      </c>
    </row>
    <row r="100" spans="1:3" x14ac:dyDescent="0.25">
      <c r="A100" s="1" t="s">
        <v>33</v>
      </c>
      <c r="B100" s="1" t="str">
        <f t="shared" si="5"/>
        <v>Mining</v>
      </c>
      <c r="C100" s="1">
        <v>4</v>
      </c>
    </row>
    <row r="101" spans="1:3" x14ac:dyDescent="0.25">
      <c r="A101" s="1" t="s">
        <v>10</v>
      </c>
      <c r="B101" s="1" t="str">
        <f t="shared" si="5"/>
        <v>Public Administration</v>
      </c>
      <c r="C101" s="1">
        <v>3</v>
      </c>
    </row>
    <row r="102" spans="1:3" x14ac:dyDescent="0.25">
      <c r="A102" s="1" t="s">
        <v>3</v>
      </c>
      <c r="B102" s="1" t="str">
        <f t="shared" si="5"/>
        <v>Utilities</v>
      </c>
      <c r="C102" s="1">
        <v>2</v>
      </c>
    </row>
    <row r="103" spans="1:3" x14ac:dyDescent="0.25">
      <c r="A103" s="1" t="s">
        <v>32</v>
      </c>
      <c r="B103" s="1" t="str">
        <f t="shared" si="5"/>
        <v>Professional, Scientific &amp; Technical Services</v>
      </c>
      <c r="C103" s="1">
        <v>1</v>
      </c>
    </row>
    <row r="104" spans="1:3" x14ac:dyDescent="0.25">
      <c r="A104" s="1" t="s">
        <v>18</v>
      </c>
      <c r="B104" s="1" t="str">
        <f t="shared" si="5"/>
        <v>Other Services</v>
      </c>
      <c r="C104" s="1">
        <v>2</v>
      </c>
    </row>
    <row r="105" spans="1:3" x14ac:dyDescent="0.25">
      <c r="A105" s="1" t="s">
        <v>28</v>
      </c>
      <c r="B105" s="1" t="str">
        <f t="shared" si="5"/>
        <v>Information</v>
      </c>
      <c r="C105" s="1">
        <v>1</v>
      </c>
    </row>
    <row r="107" spans="1:3" x14ac:dyDescent="0.25">
      <c r="A107" s="39" t="s">
        <v>3818</v>
      </c>
      <c r="B107" s="39"/>
      <c r="C107" s="39"/>
    </row>
    <row r="108" spans="1:3" x14ac:dyDescent="0.25">
      <c r="A108" s="2" t="s">
        <v>41</v>
      </c>
      <c r="B108" s="1" t="str">
        <f t="shared" ref="B108:B123" si="6">TRIM(A108)</f>
        <v>Management of Companies &amp; Support Services</v>
      </c>
      <c r="C108" s="2">
        <v>11</v>
      </c>
    </row>
    <row r="109" spans="1:3" x14ac:dyDescent="0.25">
      <c r="A109" s="2" t="s">
        <v>2</v>
      </c>
      <c r="B109" s="1" t="str">
        <f t="shared" si="6"/>
        <v>Health Care &amp; Social Assistance</v>
      </c>
      <c r="C109" s="2">
        <v>10</v>
      </c>
    </row>
    <row r="110" spans="1:3" x14ac:dyDescent="0.25">
      <c r="A110" s="2" t="s">
        <v>5</v>
      </c>
      <c r="B110" s="1" t="str">
        <f t="shared" si="6"/>
        <v>Transportation &amp; Warehousing</v>
      </c>
      <c r="C110" s="2">
        <v>9</v>
      </c>
    </row>
    <row r="111" spans="1:3" x14ac:dyDescent="0.25">
      <c r="A111" s="2" t="s">
        <v>17</v>
      </c>
      <c r="B111" s="1" t="str">
        <f t="shared" si="6"/>
        <v>Information</v>
      </c>
      <c r="C111" s="2">
        <v>8</v>
      </c>
    </row>
    <row r="112" spans="1:3" x14ac:dyDescent="0.25">
      <c r="A112" s="2" t="s">
        <v>8</v>
      </c>
      <c r="B112" s="1" t="str">
        <f t="shared" si="6"/>
        <v>Retail Trade</v>
      </c>
      <c r="C112" s="2">
        <v>7</v>
      </c>
    </row>
    <row r="113" spans="1:3" x14ac:dyDescent="0.25">
      <c r="A113" s="2" t="s">
        <v>13</v>
      </c>
      <c r="B113" s="1" t="str">
        <f t="shared" si="6"/>
        <v>Agriculture, Forestry, Fishing &amp; Hunting</v>
      </c>
      <c r="C113" s="2">
        <v>6</v>
      </c>
    </row>
    <row r="114" spans="1:3" x14ac:dyDescent="0.25">
      <c r="A114" s="2" t="s">
        <v>33</v>
      </c>
      <c r="B114" s="1" t="str">
        <f t="shared" si="6"/>
        <v>Mining</v>
      </c>
      <c r="C114" s="2">
        <v>5</v>
      </c>
    </row>
    <row r="115" spans="1:3" x14ac:dyDescent="0.25">
      <c r="A115" s="2" t="s">
        <v>6</v>
      </c>
      <c r="B115" s="1" t="str">
        <f t="shared" si="6"/>
        <v>Wholesale Trade</v>
      </c>
      <c r="C115" s="2">
        <v>4</v>
      </c>
    </row>
    <row r="116" spans="1:3" x14ac:dyDescent="0.25">
      <c r="A116" s="2" t="s">
        <v>11</v>
      </c>
      <c r="B116" s="1" t="str">
        <f t="shared" si="6"/>
        <v>Finance &amp; Insurance</v>
      </c>
      <c r="C116" s="2">
        <v>3</v>
      </c>
    </row>
    <row r="117" spans="1:3" x14ac:dyDescent="0.25">
      <c r="A117" s="2" t="s">
        <v>32</v>
      </c>
      <c r="B117" s="1" t="str">
        <f t="shared" si="6"/>
        <v>Professional, Scientific &amp; Technical Services</v>
      </c>
      <c r="C117" s="2">
        <v>2</v>
      </c>
    </row>
    <row r="118" spans="1:3" x14ac:dyDescent="0.25">
      <c r="A118" s="2" t="s">
        <v>40</v>
      </c>
      <c r="B118" s="1" t="str">
        <f t="shared" si="6"/>
        <v>Utilities</v>
      </c>
      <c r="C118" s="2">
        <v>1</v>
      </c>
    </row>
    <row r="119" spans="1:3" x14ac:dyDescent="0.25">
      <c r="A119" s="2" t="s">
        <v>18</v>
      </c>
      <c r="B119" s="1" t="str">
        <f t="shared" si="6"/>
        <v>Other Services</v>
      </c>
      <c r="C119" s="2">
        <v>-5</v>
      </c>
    </row>
    <row r="120" spans="1:3" x14ac:dyDescent="0.25">
      <c r="A120" s="2" t="s">
        <v>4</v>
      </c>
      <c r="B120" s="1" t="str">
        <f t="shared" si="6"/>
        <v>Accommodation &amp; Food Services</v>
      </c>
      <c r="C120" s="2">
        <v>-4</v>
      </c>
    </row>
    <row r="121" spans="1:3" x14ac:dyDescent="0.25">
      <c r="A121" s="2" t="s">
        <v>14</v>
      </c>
      <c r="B121" s="1" t="str">
        <f t="shared" si="6"/>
        <v>Real Estate, Rental &amp; Leasing</v>
      </c>
      <c r="C121" s="2">
        <v>-3</v>
      </c>
    </row>
    <row r="122" spans="1:3" x14ac:dyDescent="0.25">
      <c r="A122" s="2" t="s">
        <v>7</v>
      </c>
      <c r="B122" s="1" t="str">
        <f t="shared" si="6"/>
        <v>Construction</v>
      </c>
      <c r="C122" s="2">
        <v>-2</v>
      </c>
    </row>
    <row r="123" spans="1:3" x14ac:dyDescent="0.25">
      <c r="A123" s="2" t="s">
        <v>27</v>
      </c>
      <c r="B123" s="1" t="str">
        <f t="shared" si="6"/>
        <v>Educational Services</v>
      </c>
      <c r="C123" s="2">
        <v>-1</v>
      </c>
    </row>
  </sheetData>
  <mergeCells count="7">
    <mergeCell ref="A107:C107"/>
    <mergeCell ref="A91:C91"/>
    <mergeCell ref="A1:C1"/>
    <mergeCell ref="A21:C21"/>
    <mergeCell ref="A38:C38"/>
    <mergeCell ref="A54:C54"/>
    <mergeCell ref="A73:C73"/>
  </mergeCells>
  <pageMargins left="0.7" right="0.7" top="0.75" bottom="0.75" header="0.51180555555555496" footer="0.51180555555555496"/>
  <pageSetup paperSize="9" firstPageNumber="0"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G111"/>
  <sheetViews>
    <sheetView zoomScaleNormal="100" workbookViewId="0">
      <selection activeCell="M24" sqref="M24"/>
    </sheetView>
  </sheetViews>
  <sheetFormatPr defaultRowHeight="15" x14ac:dyDescent="0.25"/>
  <cols>
    <col min="1" max="1" width="43.85546875" customWidth="1"/>
    <col min="2" max="2" width="43.42578125" customWidth="1"/>
    <col min="3" max="1025" width="8.7109375" customWidth="1"/>
  </cols>
  <sheetData>
    <row r="1" spans="1:7" x14ac:dyDescent="0.25">
      <c r="A1" s="39" t="s">
        <v>0</v>
      </c>
      <c r="B1" s="39"/>
      <c r="C1" s="39"/>
    </row>
    <row r="2" spans="1:7" x14ac:dyDescent="0.25">
      <c r="A2" s="1" t="s">
        <v>29</v>
      </c>
      <c r="B2" s="1" t="str">
        <f t="shared" ref="B2:B19" si="0">TRIM(A2)</f>
        <v>Real Estate, Rental &amp; Leasing</v>
      </c>
      <c r="C2" s="1">
        <v>14</v>
      </c>
    </row>
    <row r="3" spans="1:7" x14ac:dyDescent="0.25">
      <c r="A3" s="1" t="s">
        <v>7</v>
      </c>
      <c r="B3" s="1" t="str">
        <f t="shared" si="0"/>
        <v>Construction</v>
      </c>
      <c r="C3" s="1">
        <v>13</v>
      </c>
      <c r="F3" t="s">
        <v>31</v>
      </c>
      <c r="G3" s="29" t="s">
        <v>3987</v>
      </c>
    </row>
    <row r="4" spans="1:7" x14ac:dyDescent="0.25">
      <c r="A4" s="1" t="s">
        <v>6</v>
      </c>
      <c r="B4" s="1" t="str">
        <f t="shared" si="0"/>
        <v>Wholesale Trade</v>
      </c>
      <c r="C4" s="1">
        <v>12</v>
      </c>
      <c r="F4" t="s">
        <v>20</v>
      </c>
      <c r="G4" s="29" t="s">
        <v>3988</v>
      </c>
    </row>
    <row r="5" spans="1:7" x14ac:dyDescent="0.25">
      <c r="A5" s="1" t="s">
        <v>11</v>
      </c>
      <c r="B5" s="1" t="str">
        <f t="shared" si="0"/>
        <v>Finance &amp; Insurance</v>
      </c>
      <c r="C5" s="1">
        <v>11</v>
      </c>
      <c r="F5" t="s">
        <v>27</v>
      </c>
      <c r="G5" s="29" t="s">
        <v>3989</v>
      </c>
    </row>
    <row r="6" spans="1:7" x14ac:dyDescent="0.25">
      <c r="A6" s="1" t="s">
        <v>5</v>
      </c>
      <c r="B6" s="1" t="str">
        <f t="shared" si="0"/>
        <v>Transportation &amp; Warehousing</v>
      </c>
      <c r="C6" s="1">
        <v>10</v>
      </c>
      <c r="F6" t="s">
        <v>23</v>
      </c>
      <c r="G6" s="29" t="s">
        <v>3990</v>
      </c>
    </row>
    <row r="7" spans="1:7" x14ac:dyDescent="0.25">
      <c r="A7" s="1" t="s">
        <v>2</v>
      </c>
      <c r="B7" s="1" t="str">
        <f t="shared" si="0"/>
        <v>Health Care &amp; Social Assistance</v>
      </c>
      <c r="C7" s="1">
        <v>9</v>
      </c>
      <c r="F7" t="s">
        <v>43</v>
      </c>
      <c r="G7" s="29" t="s">
        <v>3991</v>
      </c>
    </row>
    <row r="8" spans="1:7" x14ac:dyDescent="0.25">
      <c r="A8" s="1" t="s">
        <v>9</v>
      </c>
      <c r="B8" s="1" t="str">
        <f t="shared" si="0"/>
        <v>Management of Companies &amp; Support Services</v>
      </c>
      <c r="C8" s="1">
        <v>8</v>
      </c>
      <c r="F8" t="s">
        <v>28</v>
      </c>
      <c r="G8" s="29" t="s">
        <v>3992</v>
      </c>
    </row>
    <row r="9" spans="1:7" x14ac:dyDescent="0.25">
      <c r="A9" s="1" t="s">
        <v>13</v>
      </c>
      <c r="B9" s="1" t="str">
        <f t="shared" si="0"/>
        <v>Agriculture, Forestry, Fishing &amp; Hunting</v>
      </c>
      <c r="C9" s="1">
        <v>7</v>
      </c>
      <c r="F9" t="s">
        <v>16</v>
      </c>
      <c r="G9" s="29" t="s">
        <v>3993</v>
      </c>
    </row>
    <row r="10" spans="1:7" x14ac:dyDescent="0.25">
      <c r="A10" s="1" t="s">
        <v>4</v>
      </c>
      <c r="B10" s="1" t="str">
        <f t="shared" si="0"/>
        <v>Accommodation &amp; Food Services</v>
      </c>
      <c r="C10" s="1">
        <v>6</v>
      </c>
      <c r="F10" t="s">
        <v>18</v>
      </c>
      <c r="G10" s="29" t="s">
        <v>3994</v>
      </c>
    </row>
    <row r="11" spans="1:7" x14ac:dyDescent="0.25">
      <c r="A11" s="1" t="s">
        <v>22</v>
      </c>
      <c r="B11" s="1" t="str">
        <f t="shared" si="0"/>
        <v>Other Services</v>
      </c>
      <c r="C11" s="1">
        <v>5</v>
      </c>
      <c r="F11" t="s">
        <v>34</v>
      </c>
      <c r="G11" s="29" t="s">
        <v>3995</v>
      </c>
    </row>
    <row r="12" spans="1:7" x14ac:dyDescent="0.25">
      <c r="A12" s="1" t="s">
        <v>33</v>
      </c>
      <c r="B12" s="1" t="str">
        <f t="shared" si="0"/>
        <v>Mining</v>
      </c>
      <c r="C12" s="1">
        <v>4</v>
      </c>
      <c r="F12" t="s">
        <v>25</v>
      </c>
      <c r="G12" s="29" t="s">
        <v>3996</v>
      </c>
    </row>
    <row r="13" spans="1:7" x14ac:dyDescent="0.25">
      <c r="A13" s="1" t="s">
        <v>32</v>
      </c>
      <c r="B13" s="1" t="str">
        <f t="shared" si="0"/>
        <v>Professional, Scientific &amp; Technical Services</v>
      </c>
      <c r="C13" s="1">
        <v>3</v>
      </c>
      <c r="F13" t="s">
        <v>40</v>
      </c>
      <c r="G13" s="29" t="s">
        <v>3997</v>
      </c>
    </row>
    <row r="14" spans="1:7" x14ac:dyDescent="0.25">
      <c r="A14" s="1" t="s">
        <v>10</v>
      </c>
      <c r="B14" s="1" t="str">
        <f t="shared" si="0"/>
        <v>Public Administration</v>
      </c>
      <c r="C14" s="1">
        <v>2</v>
      </c>
      <c r="F14" t="s">
        <v>36</v>
      </c>
      <c r="G14" s="29" t="s">
        <v>3998</v>
      </c>
    </row>
    <row r="15" spans="1:7" x14ac:dyDescent="0.25">
      <c r="A15" s="1" t="s">
        <v>28</v>
      </c>
      <c r="B15" s="1" t="str">
        <f t="shared" si="0"/>
        <v>Information</v>
      </c>
      <c r="C15" s="1">
        <v>1</v>
      </c>
    </row>
    <row r="16" spans="1:7" x14ac:dyDescent="0.25">
      <c r="A16" s="1" t="s">
        <v>1</v>
      </c>
      <c r="B16" s="1" t="str">
        <f t="shared" si="0"/>
        <v>Arts, Entertainment &amp; Recreation</v>
      </c>
      <c r="C16" s="1">
        <v>-4</v>
      </c>
    </row>
    <row r="17" spans="1:3" x14ac:dyDescent="0.25">
      <c r="A17" s="1" t="s">
        <v>12</v>
      </c>
      <c r="B17" s="1" t="str">
        <f t="shared" si="0"/>
        <v>Educational Services</v>
      </c>
      <c r="C17" s="1">
        <v>-3</v>
      </c>
    </row>
    <row r="18" spans="1:3" x14ac:dyDescent="0.25">
      <c r="A18" s="1" t="s">
        <v>8</v>
      </c>
      <c r="B18" s="1" t="str">
        <f t="shared" si="0"/>
        <v>Retail Trade</v>
      </c>
      <c r="C18" s="1">
        <v>-2</v>
      </c>
    </row>
    <row r="19" spans="1:3" x14ac:dyDescent="0.25">
      <c r="A19" s="1" t="s">
        <v>40</v>
      </c>
      <c r="B19" s="1" t="str">
        <f t="shared" si="0"/>
        <v>Utilities</v>
      </c>
      <c r="C19" s="1">
        <v>-1</v>
      </c>
    </row>
    <row r="21" spans="1:3" x14ac:dyDescent="0.25">
      <c r="A21" s="39" t="s">
        <v>19</v>
      </c>
      <c r="B21" s="39"/>
      <c r="C21" s="39"/>
    </row>
    <row r="22" spans="1:3" x14ac:dyDescent="0.25">
      <c r="A22" s="1" t="s">
        <v>29</v>
      </c>
      <c r="B22" s="1" t="str">
        <f t="shared" ref="B22:B32" si="1">TRIM(A22)</f>
        <v>Real Estate, Rental &amp; Leasing</v>
      </c>
      <c r="C22" s="1">
        <v>8</v>
      </c>
    </row>
    <row r="23" spans="1:3" x14ac:dyDescent="0.25">
      <c r="A23" s="1" t="s">
        <v>11</v>
      </c>
      <c r="B23" s="1" t="str">
        <f t="shared" si="1"/>
        <v>Finance &amp; Insurance</v>
      </c>
      <c r="C23" s="1">
        <v>7</v>
      </c>
    </row>
    <row r="24" spans="1:3" x14ac:dyDescent="0.25">
      <c r="A24" s="1" t="s">
        <v>13</v>
      </c>
      <c r="B24" s="1" t="str">
        <f t="shared" si="1"/>
        <v>Agriculture, Forestry, Fishing &amp; Hunting</v>
      </c>
      <c r="C24" s="1">
        <v>6</v>
      </c>
    </row>
    <row r="25" spans="1:3" x14ac:dyDescent="0.25">
      <c r="A25" s="1" t="s">
        <v>6</v>
      </c>
      <c r="B25" s="1" t="str">
        <f t="shared" si="1"/>
        <v>Wholesale Trade</v>
      </c>
      <c r="C25" s="1">
        <v>5</v>
      </c>
    </row>
    <row r="26" spans="1:3" x14ac:dyDescent="0.25">
      <c r="A26" s="1" t="s">
        <v>7</v>
      </c>
      <c r="B26" s="1" t="str">
        <f t="shared" si="1"/>
        <v>Construction</v>
      </c>
      <c r="C26" s="1">
        <v>4</v>
      </c>
    </row>
    <row r="27" spans="1:3" x14ac:dyDescent="0.25">
      <c r="A27" s="1" t="s">
        <v>5</v>
      </c>
      <c r="B27" s="1" t="str">
        <f t="shared" si="1"/>
        <v>Transportation &amp; Warehousing</v>
      </c>
      <c r="C27" s="1">
        <v>3</v>
      </c>
    </row>
    <row r="28" spans="1:3" x14ac:dyDescent="0.25">
      <c r="A28" s="1" t="s">
        <v>17</v>
      </c>
      <c r="B28" s="1" t="str">
        <f t="shared" si="1"/>
        <v>Information</v>
      </c>
      <c r="C28" s="1">
        <v>2</v>
      </c>
    </row>
    <row r="29" spans="1:3" x14ac:dyDescent="0.25">
      <c r="A29" s="1" t="s">
        <v>44</v>
      </c>
      <c r="B29" s="1" t="str">
        <f t="shared" si="1"/>
        <v>Professional, Scientific &amp; Technical Services</v>
      </c>
      <c r="C29" s="1">
        <v>1</v>
      </c>
    </row>
    <row r="30" spans="1:3" x14ac:dyDescent="0.25">
      <c r="A30" s="1" t="s">
        <v>1</v>
      </c>
      <c r="B30" s="1" t="str">
        <f t="shared" si="1"/>
        <v>Arts, Entertainment &amp; Recreation</v>
      </c>
      <c r="C30" s="1">
        <v>-3</v>
      </c>
    </row>
    <row r="31" spans="1:3" x14ac:dyDescent="0.25">
      <c r="A31" s="1" t="s">
        <v>4</v>
      </c>
      <c r="B31" s="1" t="str">
        <f t="shared" si="1"/>
        <v>Accommodation &amp; Food Services</v>
      </c>
      <c r="C31" s="1">
        <v>-2</v>
      </c>
    </row>
    <row r="32" spans="1:3" x14ac:dyDescent="0.25">
      <c r="A32" s="1" t="s">
        <v>27</v>
      </c>
      <c r="B32" s="1" t="str">
        <f t="shared" si="1"/>
        <v>Educational Services</v>
      </c>
      <c r="C32" s="1">
        <v>-1</v>
      </c>
    </row>
    <row r="34" spans="1:3" x14ac:dyDescent="0.25">
      <c r="A34" s="39" t="s">
        <v>21</v>
      </c>
      <c r="B34" s="39"/>
      <c r="C34" s="39"/>
    </row>
    <row r="35" spans="1:3" x14ac:dyDescent="0.25">
      <c r="A35" s="1" t="s">
        <v>41</v>
      </c>
      <c r="B35" s="1" t="str">
        <f t="shared" ref="B35:B48" si="2">TRIM(A35)</f>
        <v>Management of Companies &amp; Support Services</v>
      </c>
      <c r="C35" s="1">
        <v>8</v>
      </c>
    </row>
    <row r="36" spans="1:3" x14ac:dyDescent="0.25">
      <c r="A36" s="1" t="s">
        <v>14</v>
      </c>
      <c r="B36" s="1" t="str">
        <f t="shared" si="2"/>
        <v>Real Estate, Rental &amp; Leasing</v>
      </c>
      <c r="C36" s="1">
        <v>7</v>
      </c>
    </row>
    <row r="37" spans="1:3" x14ac:dyDescent="0.25">
      <c r="A37" s="1" t="s">
        <v>7</v>
      </c>
      <c r="B37" s="1" t="str">
        <f t="shared" si="2"/>
        <v>Construction</v>
      </c>
      <c r="C37" s="1">
        <v>6</v>
      </c>
    </row>
    <row r="38" spans="1:3" x14ac:dyDescent="0.25">
      <c r="A38" s="1" t="s">
        <v>11</v>
      </c>
      <c r="B38" s="1" t="str">
        <f t="shared" si="2"/>
        <v>Finance &amp; Insurance</v>
      </c>
      <c r="C38" s="1">
        <v>5</v>
      </c>
    </row>
    <row r="39" spans="1:3" x14ac:dyDescent="0.25">
      <c r="A39" s="1" t="s">
        <v>4</v>
      </c>
      <c r="B39" s="1" t="str">
        <f t="shared" si="2"/>
        <v>Accommodation &amp; Food Services</v>
      </c>
      <c r="C39" s="1">
        <v>4</v>
      </c>
    </row>
    <row r="40" spans="1:3" x14ac:dyDescent="0.25">
      <c r="A40" s="1" t="s">
        <v>2</v>
      </c>
      <c r="B40" s="1" t="str">
        <f t="shared" si="2"/>
        <v>Health Care &amp; Social Assistance</v>
      </c>
      <c r="C40" s="1">
        <v>3</v>
      </c>
    </row>
    <row r="41" spans="1:3" x14ac:dyDescent="0.25">
      <c r="A41" s="1" t="s">
        <v>10</v>
      </c>
      <c r="B41" s="1" t="str">
        <f t="shared" si="2"/>
        <v>Public Administration</v>
      </c>
      <c r="C41" s="1">
        <v>2</v>
      </c>
    </row>
    <row r="42" spans="1:3" x14ac:dyDescent="0.25">
      <c r="A42" s="1" t="s">
        <v>45</v>
      </c>
      <c r="B42" s="1" t="str">
        <f t="shared" si="2"/>
        <v>Wholesale Trade</v>
      </c>
      <c r="C42" s="1">
        <v>1</v>
      </c>
    </row>
    <row r="43" spans="1:3" x14ac:dyDescent="0.25">
      <c r="A43" s="1" t="s">
        <v>25</v>
      </c>
      <c r="B43" s="1" t="str">
        <f t="shared" si="2"/>
        <v>Retail Trade</v>
      </c>
      <c r="C43" s="1">
        <v>-6</v>
      </c>
    </row>
    <row r="44" spans="1:3" x14ac:dyDescent="0.25">
      <c r="A44" s="1" t="s">
        <v>17</v>
      </c>
      <c r="B44" s="1" t="str">
        <f t="shared" si="2"/>
        <v>Information</v>
      </c>
      <c r="C44" s="1">
        <v>-5</v>
      </c>
    </row>
    <row r="45" spans="1:3" x14ac:dyDescent="0.25">
      <c r="A45" s="1" t="s">
        <v>12</v>
      </c>
      <c r="B45" s="1" t="str">
        <f t="shared" si="2"/>
        <v>Educational Services</v>
      </c>
      <c r="C45" s="1">
        <v>-4</v>
      </c>
    </row>
    <row r="46" spans="1:3" x14ac:dyDescent="0.25">
      <c r="A46" s="1" t="s">
        <v>5</v>
      </c>
      <c r="B46" s="1" t="str">
        <f t="shared" si="2"/>
        <v>Transportation &amp; Warehousing</v>
      </c>
      <c r="C46" s="1">
        <v>-3</v>
      </c>
    </row>
    <row r="47" spans="1:3" x14ac:dyDescent="0.25">
      <c r="A47" s="1" t="s">
        <v>3</v>
      </c>
      <c r="B47" s="1" t="str">
        <f t="shared" si="2"/>
        <v>Utilities</v>
      </c>
      <c r="C47" s="1">
        <v>-2</v>
      </c>
    </row>
    <row r="48" spans="1:3" x14ac:dyDescent="0.25">
      <c r="A48" s="1" t="s">
        <v>15</v>
      </c>
      <c r="B48" s="1" t="str">
        <f t="shared" si="2"/>
        <v>Professional, Scientific &amp; Technical Services</v>
      </c>
      <c r="C48" s="1">
        <v>-1</v>
      </c>
    </row>
    <row r="50" spans="1:3" x14ac:dyDescent="0.25">
      <c r="A50" s="39" t="s">
        <v>24</v>
      </c>
      <c r="B50" s="39"/>
      <c r="C50" s="39"/>
    </row>
    <row r="51" spans="1:3" x14ac:dyDescent="0.25">
      <c r="A51" s="1" t="s">
        <v>38</v>
      </c>
      <c r="B51" s="1" t="str">
        <f t="shared" ref="B51:B64" si="3">TRIM(A51)</f>
        <v>Transportation &amp; Warehousing</v>
      </c>
      <c r="C51" s="1">
        <v>-13</v>
      </c>
    </row>
    <row r="52" spans="1:3" x14ac:dyDescent="0.25">
      <c r="A52" s="1" t="s">
        <v>6</v>
      </c>
      <c r="B52" s="1" t="str">
        <f t="shared" si="3"/>
        <v>Wholesale Trade</v>
      </c>
      <c r="C52" s="1">
        <v>-12</v>
      </c>
    </row>
    <row r="53" spans="1:3" x14ac:dyDescent="0.25">
      <c r="A53" s="1" t="s">
        <v>4</v>
      </c>
      <c r="B53" s="1" t="str">
        <f t="shared" si="3"/>
        <v>Accommodation &amp; Food Services</v>
      </c>
      <c r="C53" s="1">
        <v>-11</v>
      </c>
    </row>
    <row r="54" spans="1:3" x14ac:dyDescent="0.25">
      <c r="A54" s="1" t="s">
        <v>8</v>
      </c>
      <c r="B54" s="1" t="str">
        <f t="shared" si="3"/>
        <v>Retail Trade</v>
      </c>
      <c r="C54" s="1">
        <v>-10</v>
      </c>
    </row>
    <row r="55" spans="1:3" x14ac:dyDescent="0.25">
      <c r="A55" s="1" t="s">
        <v>2</v>
      </c>
      <c r="B55" s="1" t="str">
        <f t="shared" si="3"/>
        <v>Health Care &amp; Social Assistance</v>
      </c>
      <c r="C55" s="1">
        <v>-9</v>
      </c>
    </row>
    <row r="56" spans="1:3" x14ac:dyDescent="0.25">
      <c r="A56" s="1" t="s">
        <v>22</v>
      </c>
      <c r="B56" s="1" t="str">
        <f t="shared" si="3"/>
        <v>Other Services</v>
      </c>
      <c r="C56" s="1">
        <v>-8</v>
      </c>
    </row>
    <row r="57" spans="1:3" x14ac:dyDescent="0.25">
      <c r="A57" s="1" t="s">
        <v>33</v>
      </c>
      <c r="B57" s="1" t="str">
        <f t="shared" si="3"/>
        <v>Mining</v>
      </c>
      <c r="C57" s="1">
        <v>-7</v>
      </c>
    </row>
    <row r="58" spans="1:3" x14ac:dyDescent="0.25">
      <c r="A58" s="1" t="s">
        <v>13</v>
      </c>
      <c r="B58" s="1" t="str">
        <f t="shared" si="3"/>
        <v>Agriculture, Forestry, Fishing &amp; Hunting</v>
      </c>
      <c r="C58" s="1">
        <v>-6</v>
      </c>
    </row>
    <row r="59" spans="1:3" x14ac:dyDescent="0.25">
      <c r="A59" s="1" t="s">
        <v>7</v>
      </c>
      <c r="B59" s="1" t="str">
        <f t="shared" si="3"/>
        <v>Construction</v>
      </c>
      <c r="C59" s="1">
        <v>-5</v>
      </c>
    </row>
    <row r="60" spans="1:3" x14ac:dyDescent="0.25">
      <c r="A60" s="1" t="s">
        <v>17</v>
      </c>
      <c r="B60" s="1" t="str">
        <f t="shared" si="3"/>
        <v>Information</v>
      </c>
      <c r="C60" s="1">
        <v>-4</v>
      </c>
    </row>
    <row r="61" spans="1:3" x14ac:dyDescent="0.25">
      <c r="A61" s="1" t="s">
        <v>9</v>
      </c>
      <c r="B61" s="1" t="str">
        <f t="shared" si="3"/>
        <v>Management of Companies &amp; Support Services</v>
      </c>
      <c r="C61" s="1">
        <v>-3</v>
      </c>
    </row>
    <row r="62" spans="1:3" x14ac:dyDescent="0.25">
      <c r="A62" s="1" t="s">
        <v>12</v>
      </c>
      <c r="B62" s="1" t="str">
        <f t="shared" si="3"/>
        <v>Educational Services</v>
      </c>
      <c r="C62" s="1">
        <v>-2</v>
      </c>
    </row>
    <row r="63" spans="1:3" x14ac:dyDescent="0.25">
      <c r="A63" s="1" t="s">
        <v>15</v>
      </c>
      <c r="B63" s="1" t="str">
        <f t="shared" si="3"/>
        <v>Professional, Scientific &amp; Technical Services</v>
      </c>
      <c r="C63" s="1">
        <v>-1</v>
      </c>
    </row>
    <row r="64" spans="1:3" x14ac:dyDescent="0.25">
      <c r="A64" s="1" t="s">
        <v>40</v>
      </c>
      <c r="B64" s="1" t="str">
        <f t="shared" si="3"/>
        <v>Utilities</v>
      </c>
      <c r="C64" s="1">
        <v>1</v>
      </c>
    </row>
    <row r="66" spans="1:3" x14ac:dyDescent="0.25">
      <c r="A66" s="39" t="s">
        <v>26</v>
      </c>
      <c r="B66" s="39"/>
      <c r="C66" s="39"/>
    </row>
    <row r="67" spans="1:3" x14ac:dyDescent="0.25">
      <c r="A67" s="1" t="s">
        <v>46</v>
      </c>
      <c r="B67" s="1" t="str">
        <f t="shared" ref="B67:B79" si="4">TRIM(A67)</f>
        <v> Finance &amp; Insurance</v>
      </c>
      <c r="C67" s="1">
        <v>7</v>
      </c>
    </row>
    <row r="68" spans="1:3" x14ac:dyDescent="0.25">
      <c r="A68" s="1" t="s">
        <v>12</v>
      </c>
      <c r="B68" s="1" t="str">
        <f t="shared" si="4"/>
        <v>Educational Services</v>
      </c>
      <c r="C68" s="1">
        <v>6</v>
      </c>
    </row>
    <row r="69" spans="1:3" x14ac:dyDescent="0.25">
      <c r="A69" s="1" t="s">
        <v>22</v>
      </c>
      <c r="B69" s="1" t="str">
        <f t="shared" si="4"/>
        <v>Other Services</v>
      </c>
      <c r="C69" s="1">
        <v>5</v>
      </c>
    </row>
    <row r="70" spans="1:3" x14ac:dyDescent="0.25">
      <c r="A70" s="1" t="s">
        <v>2</v>
      </c>
      <c r="B70" s="1" t="str">
        <f t="shared" si="4"/>
        <v>Health Care &amp; Social Assistance</v>
      </c>
      <c r="C70" s="1">
        <v>4</v>
      </c>
    </row>
    <row r="71" spans="1:3" x14ac:dyDescent="0.25">
      <c r="A71" s="1" t="s">
        <v>3</v>
      </c>
      <c r="B71" s="1" t="str">
        <f t="shared" si="4"/>
        <v>Utilities</v>
      </c>
      <c r="C71" s="1">
        <v>3</v>
      </c>
    </row>
    <row r="72" spans="1:3" x14ac:dyDescent="0.25">
      <c r="A72" s="1" t="s">
        <v>10</v>
      </c>
      <c r="B72" s="1" t="str">
        <f t="shared" si="4"/>
        <v>Public Administration</v>
      </c>
      <c r="C72" s="1">
        <v>2</v>
      </c>
    </row>
    <row r="73" spans="1:3" x14ac:dyDescent="0.25">
      <c r="A73" s="1" t="s">
        <v>47</v>
      </c>
      <c r="B73" s="1" t="str">
        <f t="shared" si="4"/>
        <v>Information</v>
      </c>
      <c r="C73" s="1">
        <v>1</v>
      </c>
    </row>
    <row r="74" spans="1:3" x14ac:dyDescent="0.25">
      <c r="A74" s="1" t="s">
        <v>1</v>
      </c>
      <c r="B74" s="1" t="str">
        <f t="shared" si="4"/>
        <v>Arts, Entertainment &amp; Recreation</v>
      </c>
      <c r="C74" s="1">
        <v>-6</v>
      </c>
    </row>
    <row r="75" spans="1:3" x14ac:dyDescent="0.25">
      <c r="A75" s="1" t="s">
        <v>5</v>
      </c>
      <c r="B75" s="1" t="str">
        <f t="shared" si="4"/>
        <v>Transportation &amp; Warehousing</v>
      </c>
      <c r="C75" s="1">
        <v>-5</v>
      </c>
    </row>
    <row r="76" spans="1:3" x14ac:dyDescent="0.25">
      <c r="A76" s="1" t="s">
        <v>14</v>
      </c>
      <c r="B76" s="1" t="str">
        <f t="shared" si="4"/>
        <v>Real Estate, Rental &amp; Leasing</v>
      </c>
      <c r="C76" s="1">
        <v>-4</v>
      </c>
    </row>
    <row r="77" spans="1:3" x14ac:dyDescent="0.25">
      <c r="A77" s="1" t="s">
        <v>33</v>
      </c>
      <c r="B77" s="1" t="str">
        <f t="shared" si="4"/>
        <v>Mining</v>
      </c>
      <c r="C77" s="1">
        <v>-3</v>
      </c>
    </row>
    <row r="78" spans="1:3" x14ac:dyDescent="0.25">
      <c r="A78" s="1" t="s">
        <v>8</v>
      </c>
      <c r="B78" s="1" t="str">
        <f t="shared" si="4"/>
        <v>Retail Trade</v>
      </c>
      <c r="C78" s="1">
        <v>-2</v>
      </c>
    </row>
    <row r="79" spans="1:3" x14ac:dyDescent="0.25">
      <c r="A79" s="1" t="s">
        <v>15</v>
      </c>
      <c r="B79" s="1" t="str">
        <f t="shared" si="4"/>
        <v>Professional, Scientific &amp; Technical Services</v>
      </c>
      <c r="C79" s="1">
        <v>-1</v>
      </c>
    </row>
    <row r="81" spans="1:3" x14ac:dyDescent="0.25">
      <c r="A81" s="39" t="s">
        <v>30</v>
      </c>
      <c r="B81" s="39"/>
      <c r="C81" s="39"/>
    </row>
    <row r="82" spans="1:3" x14ac:dyDescent="0.25">
      <c r="A82" s="1" t="s">
        <v>36</v>
      </c>
      <c r="B82" s="1" t="str">
        <f t="shared" ref="B82:B97" si="5">TRIM(A82)</f>
        <v>Wholesale Trade</v>
      </c>
      <c r="C82" s="1">
        <v>16</v>
      </c>
    </row>
    <row r="83" spans="1:3" x14ac:dyDescent="0.25">
      <c r="A83" s="1" t="s">
        <v>7</v>
      </c>
      <c r="B83" s="1" t="str">
        <f t="shared" si="5"/>
        <v>Construction</v>
      </c>
      <c r="C83" s="1">
        <v>15</v>
      </c>
    </row>
    <row r="84" spans="1:3" x14ac:dyDescent="0.25">
      <c r="A84" s="1" t="s">
        <v>13</v>
      </c>
      <c r="B84" s="1" t="str">
        <f t="shared" si="5"/>
        <v>Agriculture, Forestry, Fishing &amp; Hunting</v>
      </c>
      <c r="C84" s="1">
        <v>14</v>
      </c>
    </row>
    <row r="85" spans="1:3" x14ac:dyDescent="0.25">
      <c r="A85" s="1" t="s">
        <v>8</v>
      </c>
      <c r="B85" s="1" t="str">
        <f t="shared" si="5"/>
        <v>Retail Trade</v>
      </c>
      <c r="C85" s="1">
        <v>13</v>
      </c>
    </row>
    <row r="86" spans="1:3" x14ac:dyDescent="0.25">
      <c r="A86" s="1" t="s">
        <v>4</v>
      </c>
      <c r="B86" s="1" t="str">
        <f t="shared" si="5"/>
        <v>Accommodation &amp; Food Services</v>
      </c>
      <c r="C86" s="1">
        <v>12</v>
      </c>
    </row>
    <row r="87" spans="1:3" x14ac:dyDescent="0.25">
      <c r="A87" s="1" t="s">
        <v>33</v>
      </c>
      <c r="B87" s="1" t="str">
        <f t="shared" si="5"/>
        <v>Mining</v>
      </c>
      <c r="C87" s="1">
        <v>11</v>
      </c>
    </row>
    <row r="88" spans="1:3" x14ac:dyDescent="0.25">
      <c r="A88" s="1" t="s">
        <v>42</v>
      </c>
      <c r="B88" s="1" t="str">
        <f t="shared" si="5"/>
        <v>Arts, Entertainment &amp; Recreation</v>
      </c>
      <c r="C88" s="1">
        <v>10</v>
      </c>
    </row>
    <row r="89" spans="1:3" x14ac:dyDescent="0.25">
      <c r="A89" s="1" t="s">
        <v>5</v>
      </c>
      <c r="B89" s="1" t="str">
        <f t="shared" si="5"/>
        <v>Transportation &amp; Warehousing</v>
      </c>
      <c r="C89" s="1">
        <v>9</v>
      </c>
    </row>
    <row r="90" spans="1:3" x14ac:dyDescent="0.25">
      <c r="A90" s="1" t="s">
        <v>2</v>
      </c>
      <c r="B90" s="1" t="str">
        <f t="shared" si="5"/>
        <v>Health Care &amp; Social Assistance</v>
      </c>
      <c r="C90" s="1">
        <v>8</v>
      </c>
    </row>
    <row r="91" spans="1:3" x14ac:dyDescent="0.25">
      <c r="A91" s="1" t="s">
        <v>32</v>
      </c>
      <c r="B91" s="1" t="str">
        <f t="shared" si="5"/>
        <v>Professional, Scientific &amp; Technical Services</v>
      </c>
      <c r="C91" s="1">
        <v>7</v>
      </c>
    </row>
    <row r="92" spans="1:3" x14ac:dyDescent="0.25">
      <c r="A92" s="1" t="s">
        <v>10</v>
      </c>
      <c r="B92" s="1" t="str">
        <f t="shared" si="5"/>
        <v>Public Administration</v>
      </c>
      <c r="C92" s="1">
        <v>6</v>
      </c>
    </row>
    <row r="93" spans="1:3" x14ac:dyDescent="0.25">
      <c r="A93" s="1" t="s">
        <v>3</v>
      </c>
      <c r="B93" s="1" t="str">
        <f t="shared" si="5"/>
        <v>Utilities</v>
      </c>
      <c r="C93" s="1">
        <v>5</v>
      </c>
    </row>
    <row r="94" spans="1:3" x14ac:dyDescent="0.25">
      <c r="A94" s="1" t="s">
        <v>9</v>
      </c>
      <c r="B94" s="1" t="str">
        <f t="shared" si="5"/>
        <v>Management of Companies &amp; Support Services</v>
      </c>
      <c r="C94" s="1">
        <v>4</v>
      </c>
    </row>
    <row r="95" spans="1:3" x14ac:dyDescent="0.25">
      <c r="A95" s="1" t="s">
        <v>22</v>
      </c>
      <c r="B95" s="1" t="str">
        <f t="shared" si="5"/>
        <v>Other Services</v>
      </c>
      <c r="C95" s="1">
        <v>3</v>
      </c>
    </row>
    <row r="96" spans="1:3" x14ac:dyDescent="0.25">
      <c r="A96" s="1" t="s">
        <v>11</v>
      </c>
      <c r="B96" s="1" t="str">
        <f t="shared" si="5"/>
        <v>Finance &amp; Insurance</v>
      </c>
      <c r="C96" s="1">
        <v>2</v>
      </c>
    </row>
    <row r="97" spans="1:3" x14ac:dyDescent="0.25">
      <c r="A97" s="1" t="s">
        <v>27</v>
      </c>
      <c r="B97" s="1" t="str">
        <f t="shared" si="5"/>
        <v>Educational Services</v>
      </c>
      <c r="C97" s="1">
        <v>1</v>
      </c>
    </row>
    <row r="99" spans="1:3" x14ac:dyDescent="0.25">
      <c r="A99" s="39" t="s">
        <v>3818</v>
      </c>
      <c r="B99" s="39"/>
      <c r="C99" s="39"/>
    </row>
    <row r="100" spans="1:3" x14ac:dyDescent="0.25">
      <c r="A100" s="2" t="s">
        <v>20</v>
      </c>
      <c r="B100" s="1" t="str">
        <f t="shared" ref="B100:B111" si="6">TRIM(A100)</f>
        <v>Construction</v>
      </c>
      <c r="C100" s="2">
        <v>10</v>
      </c>
    </row>
    <row r="101" spans="1:3" x14ac:dyDescent="0.25">
      <c r="A101" s="2" t="s">
        <v>11</v>
      </c>
      <c r="B101" s="1" t="str">
        <f t="shared" si="6"/>
        <v>Finance &amp; Insurance</v>
      </c>
      <c r="C101" s="2">
        <v>9</v>
      </c>
    </row>
    <row r="102" spans="1:3" x14ac:dyDescent="0.25">
      <c r="A102" s="2" t="s">
        <v>14</v>
      </c>
      <c r="B102" s="1" t="str">
        <f t="shared" si="6"/>
        <v>Real Estate, Rental &amp; Leasing</v>
      </c>
      <c r="C102" s="2">
        <v>8</v>
      </c>
    </row>
    <row r="103" spans="1:3" x14ac:dyDescent="0.25">
      <c r="A103" s="2" t="s">
        <v>6</v>
      </c>
      <c r="B103" s="1" t="str">
        <f t="shared" si="6"/>
        <v>Wholesale Trade</v>
      </c>
      <c r="C103" s="2">
        <v>7</v>
      </c>
    </row>
    <row r="104" spans="1:3" x14ac:dyDescent="0.25">
      <c r="A104" s="2" t="s">
        <v>4</v>
      </c>
      <c r="B104" s="1" t="str">
        <f t="shared" si="6"/>
        <v>Accommodation &amp; Food Services</v>
      </c>
      <c r="C104" s="2">
        <v>6</v>
      </c>
    </row>
    <row r="105" spans="1:3" x14ac:dyDescent="0.25">
      <c r="A105" s="2" t="s">
        <v>2</v>
      </c>
      <c r="B105" s="1" t="str">
        <f t="shared" si="6"/>
        <v>Health Care &amp; Social Assistance</v>
      </c>
      <c r="C105" s="2">
        <v>5</v>
      </c>
    </row>
    <row r="106" spans="1:3" x14ac:dyDescent="0.25">
      <c r="A106" s="2" t="s">
        <v>32</v>
      </c>
      <c r="B106" s="1" t="str">
        <f t="shared" si="6"/>
        <v>Professional, Scientific &amp; Technical Services</v>
      </c>
      <c r="C106" s="2">
        <v>4</v>
      </c>
    </row>
    <row r="107" spans="1:3" x14ac:dyDescent="0.25">
      <c r="A107" s="2" t="s">
        <v>10</v>
      </c>
      <c r="B107" s="1" t="str">
        <f t="shared" si="6"/>
        <v>Public Administration</v>
      </c>
      <c r="C107" s="2">
        <v>3</v>
      </c>
    </row>
    <row r="108" spans="1:3" x14ac:dyDescent="0.25">
      <c r="A108" s="2" t="s">
        <v>3</v>
      </c>
      <c r="B108" s="1" t="str">
        <f t="shared" si="6"/>
        <v>Utilities</v>
      </c>
      <c r="C108" s="2">
        <v>2</v>
      </c>
    </row>
    <row r="109" spans="1:3" x14ac:dyDescent="0.25">
      <c r="A109" s="2" t="s">
        <v>28</v>
      </c>
      <c r="B109" s="1" t="str">
        <f t="shared" si="6"/>
        <v>Information</v>
      </c>
      <c r="C109" s="2">
        <v>1</v>
      </c>
    </row>
    <row r="110" spans="1:3" x14ac:dyDescent="0.25">
      <c r="A110" s="2" t="s">
        <v>25</v>
      </c>
      <c r="B110" s="1" t="str">
        <f t="shared" si="6"/>
        <v>Retail Trade</v>
      </c>
      <c r="C110" s="2">
        <v>-2</v>
      </c>
    </row>
    <row r="111" spans="1:3" x14ac:dyDescent="0.25">
      <c r="A111" s="2" t="s">
        <v>27</v>
      </c>
      <c r="B111" s="1" t="str">
        <f t="shared" si="6"/>
        <v>Educational Services</v>
      </c>
      <c r="C111" s="2">
        <v>-1</v>
      </c>
    </row>
  </sheetData>
  <mergeCells count="7">
    <mergeCell ref="A99:C99"/>
    <mergeCell ref="A81:C81"/>
    <mergeCell ref="A1:C1"/>
    <mergeCell ref="A21:C21"/>
    <mergeCell ref="A34:C34"/>
    <mergeCell ref="A50:C50"/>
    <mergeCell ref="A66:C66"/>
  </mergeCells>
  <pageMargins left="0.7" right="0.7" top="0.75" bottom="0.75" header="0.51180555555555496" footer="0.51180555555555496"/>
  <pageSetup paperSize="9" firstPageNumber="0" orientation="portrait"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123"/>
  <sheetViews>
    <sheetView zoomScaleNormal="100" workbookViewId="0">
      <selection activeCell="K28" sqref="K28"/>
    </sheetView>
  </sheetViews>
  <sheetFormatPr defaultRowHeight="15" x14ac:dyDescent="0.25"/>
  <cols>
    <col min="1" max="1" width="43.85546875" customWidth="1"/>
    <col min="2" max="2" width="43.42578125" customWidth="1"/>
    <col min="3" max="7" width="8.7109375" customWidth="1"/>
    <col min="9" max="1025" width="8.7109375" customWidth="1"/>
  </cols>
  <sheetData>
    <row r="1" spans="1:7" x14ac:dyDescent="0.25">
      <c r="A1" s="39" t="s">
        <v>0</v>
      </c>
      <c r="B1" s="39"/>
      <c r="C1" s="39"/>
    </row>
    <row r="2" spans="1:7" x14ac:dyDescent="0.25">
      <c r="A2" s="1" t="s">
        <v>31</v>
      </c>
      <c r="B2" s="1" t="str">
        <f t="shared" ref="B2:B19" si="0">TRIM(A2)</f>
        <v>Accommodation &amp; Food Services</v>
      </c>
      <c r="C2" s="1">
        <v>17</v>
      </c>
    </row>
    <row r="3" spans="1:7" x14ac:dyDescent="0.25">
      <c r="A3" s="1" t="s">
        <v>6</v>
      </c>
      <c r="B3" s="1" t="str">
        <f t="shared" si="0"/>
        <v>Wholesale Trade</v>
      </c>
      <c r="C3" s="1">
        <v>16</v>
      </c>
    </row>
    <row r="4" spans="1:7" x14ac:dyDescent="0.25">
      <c r="A4" s="1" t="s">
        <v>5</v>
      </c>
      <c r="B4" s="1" t="str">
        <f t="shared" si="0"/>
        <v>Transportation &amp; Warehousing</v>
      </c>
      <c r="C4" s="1">
        <v>15</v>
      </c>
      <c r="F4" t="s">
        <v>31</v>
      </c>
      <c r="G4" s="29" t="s">
        <v>3974</v>
      </c>
    </row>
    <row r="5" spans="1:7" x14ac:dyDescent="0.25">
      <c r="A5" s="1" t="s">
        <v>7</v>
      </c>
      <c r="B5" s="1" t="str">
        <f t="shared" si="0"/>
        <v>Construction</v>
      </c>
      <c r="C5" s="1">
        <v>14</v>
      </c>
      <c r="F5" t="s">
        <v>1</v>
      </c>
      <c r="G5" s="29" t="s">
        <v>3975</v>
      </c>
    </row>
    <row r="6" spans="1:7" x14ac:dyDescent="0.25">
      <c r="A6" s="1" t="s">
        <v>42</v>
      </c>
      <c r="B6" s="1" t="str">
        <f t="shared" si="0"/>
        <v>Arts, Entertainment &amp; Recreation</v>
      </c>
      <c r="C6" s="1">
        <v>13</v>
      </c>
      <c r="F6" t="s">
        <v>20</v>
      </c>
      <c r="G6" s="29" t="s">
        <v>3976</v>
      </c>
    </row>
    <row r="7" spans="1:7" x14ac:dyDescent="0.25">
      <c r="A7" s="1" t="s">
        <v>10</v>
      </c>
      <c r="B7" s="1" t="str">
        <f t="shared" si="0"/>
        <v>Public Administration</v>
      </c>
      <c r="C7" s="1">
        <v>12</v>
      </c>
      <c r="F7" t="s">
        <v>27</v>
      </c>
      <c r="G7" s="29" t="s">
        <v>3977</v>
      </c>
    </row>
    <row r="8" spans="1:7" x14ac:dyDescent="0.25">
      <c r="A8" s="1" t="s">
        <v>3</v>
      </c>
      <c r="B8" s="1" t="str">
        <f t="shared" si="0"/>
        <v>Utilities</v>
      </c>
      <c r="C8" s="1">
        <v>11</v>
      </c>
      <c r="F8" t="s">
        <v>23</v>
      </c>
      <c r="G8" s="29" t="s">
        <v>3978</v>
      </c>
    </row>
    <row r="9" spans="1:7" x14ac:dyDescent="0.25">
      <c r="A9" s="1" t="s">
        <v>2</v>
      </c>
      <c r="B9" s="1" t="str">
        <f t="shared" si="0"/>
        <v>Health Care &amp; Social Assistance</v>
      </c>
      <c r="C9" s="1">
        <v>10</v>
      </c>
      <c r="F9" t="s">
        <v>43</v>
      </c>
      <c r="G9" s="29" t="s">
        <v>3979</v>
      </c>
    </row>
    <row r="10" spans="1:7" x14ac:dyDescent="0.25">
      <c r="A10" s="1" t="s">
        <v>8</v>
      </c>
      <c r="B10" s="1" t="str">
        <f t="shared" si="0"/>
        <v>Retail Trade</v>
      </c>
      <c r="C10" s="1">
        <v>9</v>
      </c>
      <c r="F10" t="s">
        <v>41</v>
      </c>
      <c r="G10" s="29" t="s">
        <v>3980</v>
      </c>
    </row>
    <row r="11" spans="1:7" x14ac:dyDescent="0.25">
      <c r="A11" s="1" t="s">
        <v>32</v>
      </c>
      <c r="B11" s="1" t="str">
        <f t="shared" si="0"/>
        <v>Professional, Scientific &amp; Technical Services</v>
      </c>
      <c r="C11" s="1">
        <v>8</v>
      </c>
      <c r="F11" t="s">
        <v>28</v>
      </c>
      <c r="G11" s="29" t="s">
        <v>3981</v>
      </c>
    </row>
    <row r="12" spans="1:7" x14ac:dyDescent="0.25">
      <c r="A12" s="1" t="s">
        <v>11</v>
      </c>
      <c r="B12" s="1" t="str">
        <f t="shared" si="0"/>
        <v>Finance &amp; Insurance</v>
      </c>
      <c r="C12" s="1">
        <v>7</v>
      </c>
      <c r="F12" t="s">
        <v>25</v>
      </c>
      <c r="G12" s="29" t="s">
        <v>3982</v>
      </c>
    </row>
    <row r="13" spans="1:7" x14ac:dyDescent="0.25">
      <c r="A13" s="1" t="s">
        <v>9</v>
      </c>
      <c r="B13" s="1" t="str">
        <f t="shared" si="0"/>
        <v>Management of Companies &amp; Support Services</v>
      </c>
      <c r="C13" s="1">
        <v>6</v>
      </c>
      <c r="F13" t="s">
        <v>40</v>
      </c>
      <c r="G13" s="29" t="s">
        <v>3983</v>
      </c>
    </row>
    <row r="14" spans="1:7" x14ac:dyDescent="0.25">
      <c r="A14" s="1" t="s">
        <v>17</v>
      </c>
      <c r="B14" s="1" t="str">
        <f t="shared" si="0"/>
        <v>Information</v>
      </c>
      <c r="C14" s="1">
        <v>5</v>
      </c>
      <c r="F14" t="s">
        <v>36</v>
      </c>
      <c r="G14" s="29" t="s">
        <v>3984</v>
      </c>
    </row>
    <row r="15" spans="1:7" x14ac:dyDescent="0.25">
      <c r="A15" s="1" t="s">
        <v>13</v>
      </c>
      <c r="B15" s="1" t="str">
        <f t="shared" si="0"/>
        <v>Agriculture, Forestry, Fishing &amp; Hunting</v>
      </c>
      <c r="C15" s="1">
        <v>4</v>
      </c>
      <c r="F15" t="s">
        <v>3986</v>
      </c>
      <c r="G15" s="29" t="s">
        <v>3985</v>
      </c>
    </row>
    <row r="16" spans="1:7" x14ac:dyDescent="0.25">
      <c r="A16" s="1" t="s">
        <v>12</v>
      </c>
      <c r="B16" s="1" t="str">
        <f t="shared" si="0"/>
        <v>Educational Services</v>
      </c>
      <c r="C16" s="1">
        <v>3</v>
      </c>
    </row>
    <row r="17" spans="1:3" x14ac:dyDescent="0.25">
      <c r="A17" s="1" t="s">
        <v>22</v>
      </c>
      <c r="B17" s="1" t="str">
        <f t="shared" si="0"/>
        <v>Other Services</v>
      </c>
      <c r="C17" s="1">
        <v>2</v>
      </c>
    </row>
    <row r="18" spans="1:3" x14ac:dyDescent="0.25">
      <c r="A18" s="1" t="s">
        <v>16</v>
      </c>
      <c r="B18" s="1" t="str">
        <f t="shared" si="0"/>
        <v>Mining</v>
      </c>
      <c r="C18" s="1">
        <v>1</v>
      </c>
    </row>
    <row r="19" spans="1:3" x14ac:dyDescent="0.25">
      <c r="A19" s="1" t="s">
        <v>29</v>
      </c>
      <c r="B19" s="1" t="str">
        <f t="shared" si="0"/>
        <v>Real Estate, Rental &amp; Leasing</v>
      </c>
      <c r="C19" s="1">
        <v>-1</v>
      </c>
    </row>
    <row r="21" spans="1:3" x14ac:dyDescent="0.25">
      <c r="A21" s="39" t="s">
        <v>19</v>
      </c>
      <c r="B21" s="39"/>
      <c r="C21" s="39"/>
    </row>
    <row r="22" spans="1:3" x14ac:dyDescent="0.25">
      <c r="A22" s="1" t="s">
        <v>36</v>
      </c>
      <c r="B22" s="1" t="str">
        <f t="shared" ref="B22:B34" si="1">TRIM(A22)</f>
        <v>Wholesale Trade</v>
      </c>
      <c r="C22" s="1">
        <v>11</v>
      </c>
    </row>
    <row r="23" spans="1:3" x14ac:dyDescent="0.25">
      <c r="A23" s="1" t="s">
        <v>4</v>
      </c>
      <c r="B23" s="1" t="str">
        <f t="shared" si="1"/>
        <v>Accommodation &amp; Food Services</v>
      </c>
      <c r="C23" s="1">
        <v>10</v>
      </c>
    </row>
    <row r="24" spans="1:3" x14ac:dyDescent="0.25">
      <c r="A24" s="1" t="s">
        <v>7</v>
      </c>
      <c r="B24" s="1" t="str">
        <f t="shared" si="1"/>
        <v>Construction</v>
      </c>
      <c r="C24" s="1">
        <v>9</v>
      </c>
    </row>
    <row r="25" spans="1:3" x14ac:dyDescent="0.25">
      <c r="A25" s="1" t="s">
        <v>10</v>
      </c>
      <c r="B25" s="1" t="str">
        <f t="shared" si="1"/>
        <v>Public Administration</v>
      </c>
      <c r="C25" s="1">
        <v>8</v>
      </c>
    </row>
    <row r="26" spans="1:3" x14ac:dyDescent="0.25">
      <c r="A26" s="1" t="s">
        <v>5</v>
      </c>
      <c r="B26" s="1" t="str">
        <f t="shared" si="1"/>
        <v>Transportation &amp; Warehousing</v>
      </c>
      <c r="C26" s="1">
        <v>7</v>
      </c>
    </row>
    <row r="27" spans="1:3" x14ac:dyDescent="0.25">
      <c r="A27" s="1" t="s">
        <v>32</v>
      </c>
      <c r="B27" s="1" t="str">
        <f t="shared" si="1"/>
        <v>Professional, Scientific &amp; Technical Services</v>
      </c>
      <c r="C27" s="1">
        <v>6</v>
      </c>
    </row>
    <row r="28" spans="1:3" x14ac:dyDescent="0.25">
      <c r="A28" s="1" t="s">
        <v>9</v>
      </c>
      <c r="B28" s="1" t="str">
        <f t="shared" si="1"/>
        <v>Management of Companies &amp; Support Services</v>
      </c>
      <c r="C28" s="1">
        <v>5</v>
      </c>
    </row>
    <row r="29" spans="1:3" x14ac:dyDescent="0.25">
      <c r="A29" s="1" t="s">
        <v>3</v>
      </c>
      <c r="B29" s="1" t="str">
        <f t="shared" si="1"/>
        <v>Utilities</v>
      </c>
      <c r="C29" s="1">
        <v>4</v>
      </c>
    </row>
    <row r="30" spans="1:3" x14ac:dyDescent="0.25">
      <c r="A30" s="1" t="s">
        <v>12</v>
      </c>
      <c r="B30" s="1" t="str">
        <f t="shared" si="1"/>
        <v>Educational Services</v>
      </c>
      <c r="C30" s="1">
        <v>3</v>
      </c>
    </row>
    <row r="31" spans="1:3" x14ac:dyDescent="0.25">
      <c r="A31" s="1" t="s">
        <v>11</v>
      </c>
      <c r="B31" s="1" t="str">
        <f t="shared" si="1"/>
        <v>Finance &amp; Insurance</v>
      </c>
      <c r="C31" s="1">
        <v>2</v>
      </c>
    </row>
    <row r="32" spans="1:3" x14ac:dyDescent="0.25">
      <c r="A32" s="1" t="s">
        <v>48</v>
      </c>
      <c r="B32" s="1" t="str">
        <f t="shared" si="1"/>
        <v>Health Care &amp; Social Assistance</v>
      </c>
      <c r="C32" s="1">
        <v>1</v>
      </c>
    </row>
    <row r="33" spans="1:3" x14ac:dyDescent="0.25">
      <c r="A33" s="1" t="s">
        <v>29</v>
      </c>
      <c r="B33" s="1" t="str">
        <f t="shared" si="1"/>
        <v>Real Estate, Rental &amp; Leasing</v>
      </c>
      <c r="C33" s="1">
        <v>-2</v>
      </c>
    </row>
    <row r="34" spans="1:3" x14ac:dyDescent="0.25">
      <c r="A34" s="1" t="s">
        <v>18</v>
      </c>
      <c r="B34" s="1" t="str">
        <f t="shared" si="1"/>
        <v>Other Services</v>
      </c>
      <c r="C34" s="1">
        <v>-1</v>
      </c>
    </row>
    <row r="36" spans="1:3" x14ac:dyDescent="0.25">
      <c r="A36" s="39" t="s">
        <v>21</v>
      </c>
      <c r="B36" s="39"/>
      <c r="C36" s="39"/>
    </row>
    <row r="37" spans="1:3" x14ac:dyDescent="0.25">
      <c r="A37" s="1" t="s">
        <v>1</v>
      </c>
      <c r="B37" s="1" t="str">
        <f t="shared" ref="B37:B53" si="2">TRIM(A37)</f>
        <v>Arts, Entertainment &amp; Recreation</v>
      </c>
      <c r="C37" s="1">
        <v>11</v>
      </c>
    </row>
    <row r="38" spans="1:3" x14ac:dyDescent="0.25">
      <c r="A38" s="1" t="s">
        <v>2</v>
      </c>
      <c r="B38" s="1" t="str">
        <f t="shared" si="2"/>
        <v>Health Care &amp; Social Assistance</v>
      </c>
      <c r="C38" s="1">
        <v>10</v>
      </c>
    </row>
    <row r="39" spans="1:3" x14ac:dyDescent="0.25">
      <c r="A39" s="1" t="s">
        <v>9</v>
      </c>
      <c r="B39" s="1" t="str">
        <f t="shared" si="2"/>
        <v>Management of Companies &amp; Support Services</v>
      </c>
      <c r="C39" s="1">
        <v>9</v>
      </c>
    </row>
    <row r="40" spans="1:3" x14ac:dyDescent="0.25">
      <c r="A40" s="1" t="s">
        <v>4</v>
      </c>
      <c r="B40" s="1" t="str">
        <f t="shared" si="2"/>
        <v>Accommodation &amp; Food Services</v>
      </c>
      <c r="C40" s="1">
        <v>8</v>
      </c>
    </row>
    <row r="41" spans="1:3" x14ac:dyDescent="0.25">
      <c r="A41" s="1" t="s">
        <v>7</v>
      </c>
      <c r="B41" s="1" t="str">
        <f t="shared" si="2"/>
        <v>Construction</v>
      </c>
      <c r="C41" s="1">
        <v>7</v>
      </c>
    </row>
    <row r="42" spans="1:3" x14ac:dyDescent="0.25">
      <c r="A42" s="1" t="s">
        <v>22</v>
      </c>
      <c r="B42" s="1" t="str">
        <f t="shared" si="2"/>
        <v>Other Services</v>
      </c>
      <c r="C42" s="1">
        <v>6</v>
      </c>
    </row>
    <row r="43" spans="1:3" x14ac:dyDescent="0.25">
      <c r="A43" s="1" t="s">
        <v>8</v>
      </c>
      <c r="B43" s="1" t="str">
        <f t="shared" si="2"/>
        <v>Retail Trade</v>
      </c>
      <c r="C43" s="1">
        <v>5</v>
      </c>
    </row>
    <row r="44" spans="1:3" x14ac:dyDescent="0.25">
      <c r="A44" s="1" t="s">
        <v>3</v>
      </c>
      <c r="B44" s="1" t="str">
        <f t="shared" si="2"/>
        <v>Utilities</v>
      </c>
      <c r="C44" s="1">
        <v>4</v>
      </c>
    </row>
    <row r="45" spans="1:3" x14ac:dyDescent="0.25">
      <c r="A45" s="1" t="s">
        <v>10</v>
      </c>
      <c r="B45" s="1" t="str">
        <f t="shared" si="2"/>
        <v>Public Administration</v>
      </c>
      <c r="C45" s="1">
        <v>3</v>
      </c>
    </row>
    <row r="46" spans="1:3" x14ac:dyDescent="0.25">
      <c r="A46" s="1" t="s">
        <v>17</v>
      </c>
      <c r="B46" s="1" t="str">
        <f t="shared" si="2"/>
        <v>Information</v>
      </c>
      <c r="C46" s="1">
        <v>2</v>
      </c>
    </row>
    <row r="47" spans="1:3" x14ac:dyDescent="0.25">
      <c r="A47" s="1" t="s">
        <v>23</v>
      </c>
      <c r="B47" s="1" t="str">
        <f t="shared" si="2"/>
        <v>Finance &amp; Insurance</v>
      </c>
      <c r="C47" s="1">
        <v>1</v>
      </c>
    </row>
    <row r="48" spans="1:3" x14ac:dyDescent="0.25">
      <c r="A48" s="1" t="s">
        <v>16</v>
      </c>
      <c r="B48" s="1" t="str">
        <f t="shared" si="2"/>
        <v>Mining</v>
      </c>
      <c r="C48" s="1">
        <v>-6</v>
      </c>
    </row>
    <row r="49" spans="1:3" x14ac:dyDescent="0.25">
      <c r="A49" s="1" t="s">
        <v>14</v>
      </c>
      <c r="B49" s="1" t="str">
        <f t="shared" si="2"/>
        <v>Real Estate, Rental &amp; Leasing</v>
      </c>
      <c r="C49" s="1">
        <v>-5</v>
      </c>
    </row>
    <row r="50" spans="1:3" x14ac:dyDescent="0.25">
      <c r="A50" s="1" t="s">
        <v>5</v>
      </c>
      <c r="B50" s="1" t="str">
        <f t="shared" si="2"/>
        <v>Transportation &amp; Warehousing</v>
      </c>
      <c r="C50" s="1">
        <v>-4</v>
      </c>
    </row>
    <row r="51" spans="1:3" x14ac:dyDescent="0.25">
      <c r="A51" s="1" t="s">
        <v>12</v>
      </c>
      <c r="B51" s="1" t="str">
        <f t="shared" si="2"/>
        <v>Educational Services</v>
      </c>
      <c r="C51" s="1">
        <v>-3</v>
      </c>
    </row>
    <row r="52" spans="1:3" x14ac:dyDescent="0.25">
      <c r="A52" s="1" t="s">
        <v>6</v>
      </c>
      <c r="B52" s="1" t="str">
        <f t="shared" si="2"/>
        <v>Wholesale Trade</v>
      </c>
      <c r="C52" s="1">
        <v>-2</v>
      </c>
    </row>
    <row r="53" spans="1:3" x14ac:dyDescent="0.25">
      <c r="A53" s="1" t="s">
        <v>15</v>
      </c>
      <c r="B53" s="1" t="str">
        <f t="shared" si="2"/>
        <v>Professional, Scientific &amp; Technical Services</v>
      </c>
      <c r="C53" s="1">
        <v>-1</v>
      </c>
    </row>
    <row r="55" spans="1:3" x14ac:dyDescent="0.25">
      <c r="A55" s="39" t="s">
        <v>24</v>
      </c>
      <c r="B55" s="39"/>
      <c r="C55" s="39"/>
    </row>
    <row r="56" spans="1:3" x14ac:dyDescent="0.25">
      <c r="A56" s="1" t="s">
        <v>38</v>
      </c>
      <c r="B56" s="1" t="str">
        <f t="shared" ref="B56:B72" si="3">TRIM(A56)</f>
        <v>Transportation &amp; Warehousing</v>
      </c>
      <c r="C56" s="1">
        <v>-15</v>
      </c>
    </row>
    <row r="57" spans="1:3" x14ac:dyDescent="0.25">
      <c r="A57" s="1" t="s">
        <v>7</v>
      </c>
      <c r="B57" s="1" t="str">
        <f t="shared" si="3"/>
        <v>Construction</v>
      </c>
      <c r="C57" s="1">
        <v>-14</v>
      </c>
    </row>
    <row r="58" spans="1:3" x14ac:dyDescent="0.25">
      <c r="A58" s="1" t="s">
        <v>13</v>
      </c>
      <c r="B58" s="1" t="str">
        <f t="shared" si="3"/>
        <v>Agriculture, Forestry, Fishing &amp; Hunting</v>
      </c>
      <c r="C58" s="1">
        <v>-13</v>
      </c>
    </row>
    <row r="59" spans="1:3" x14ac:dyDescent="0.25">
      <c r="A59" s="1" t="s">
        <v>14</v>
      </c>
      <c r="B59" s="1" t="str">
        <f t="shared" si="3"/>
        <v>Real Estate, Rental &amp; Leasing</v>
      </c>
      <c r="C59" s="1">
        <v>-12</v>
      </c>
    </row>
    <row r="60" spans="1:3" x14ac:dyDescent="0.25">
      <c r="A60" s="1" t="s">
        <v>8</v>
      </c>
      <c r="B60" s="1" t="str">
        <f t="shared" si="3"/>
        <v>Retail Trade</v>
      </c>
      <c r="C60" s="1">
        <v>-11</v>
      </c>
    </row>
    <row r="61" spans="1:3" x14ac:dyDescent="0.25">
      <c r="A61" s="1" t="s">
        <v>6</v>
      </c>
      <c r="B61" s="1" t="str">
        <f t="shared" si="3"/>
        <v>Wholesale Trade</v>
      </c>
      <c r="C61" s="1">
        <v>-10</v>
      </c>
    </row>
    <row r="62" spans="1:3" x14ac:dyDescent="0.25">
      <c r="A62" s="1" t="s">
        <v>22</v>
      </c>
      <c r="B62" s="1" t="str">
        <f t="shared" si="3"/>
        <v>Other Services</v>
      </c>
      <c r="C62" s="1">
        <v>-9</v>
      </c>
    </row>
    <row r="63" spans="1:3" x14ac:dyDescent="0.25">
      <c r="A63" s="1" t="s">
        <v>33</v>
      </c>
      <c r="B63" s="1" t="str">
        <f t="shared" si="3"/>
        <v>Mining</v>
      </c>
      <c r="C63" s="1">
        <v>-8</v>
      </c>
    </row>
    <row r="64" spans="1:3" x14ac:dyDescent="0.25">
      <c r="A64" s="1" t="s">
        <v>2</v>
      </c>
      <c r="B64" s="1" t="str">
        <f t="shared" si="3"/>
        <v>Health Care &amp; Social Assistance</v>
      </c>
      <c r="C64" s="1">
        <v>-7</v>
      </c>
    </row>
    <row r="65" spans="1:3" x14ac:dyDescent="0.25">
      <c r="A65" s="1" t="s">
        <v>3</v>
      </c>
      <c r="B65" s="1" t="str">
        <f t="shared" si="3"/>
        <v>Utilities</v>
      </c>
      <c r="C65" s="1">
        <v>-6</v>
      </c>
    </row>
    <row r="66" spans="1:3" x14ac:dyDescent="0.25">
      <c r="A66" s="1" t="s">
        <v>4</v>
      </c>
      <c r="B66" s="1" t="str">
        <f t="shared" si="3"/>
        <v>Accommodation &amp; Food Services</v>
      </c>
      <c r="C66" s="1">
        <v>-5</v>
      </c>
    </row>
    <row r="67" spans="1:3" x14ac:dyDescent="0.25">
      <c r="A67" s="1" t="s">
        <v>10</v>
      </c>
      <c r="B67" s="1" t="str">
        <f t="shared" si="3"/>
        <v>Public Administration</v>
      </c>
      <c r="C67" s="1">
        <v>-4</v>
      </c>
    </row>
    <row r="68" spans="1:3" x14ac:dyDescent="0.25">
      <c r="A68" s="1" t="s">
        <v>32</v>
      </c>
      <c r="B68" s="1" t="str">
        <f t="shared" si="3"/>
        <v>Professional, Scientific &amp; Technical Services</v>
      </c>
      <c r="C68" s="1">
        <v>-3</v>
      </c>
    </row>
    <row r="69" spans="1:3" x14ac:dyDescent="0.25">
      <c r="A69" s="1" t="s">
        <v>17</v>
      </c>
      <c r="B69" s="1" t="str">
        <f t="shared" si="3"/>
        <v>Information</v>
      </c>
      <c r="C69" s="1">
        <v>-2</v>
      </c>
    </row>
    <row r="70" spans="1:3" x14ac:dyDescent="0.25">
      <c r="A70" s="1" t="s">
        <v>23</v>
      </c>
      <c r="B70" s="1" t="str">
        <f t="shared" si="3"/>
        <v>Finance &amp; Insurance</v>
      </c>
      <c r="C70" s="1">
        <v>-1</v>
      </c>
    </row>
    <row r="71" spans="1:3" x14ac:dyDescent="0.25">
      <c r="A71" s="1" t="s">
        <v>41</v>
      </c>
      <c r="B71" s="1" t="str">
        <f t="shared" si="3"/>
        <v>Management of Companies &amp; Support Services</v>
      </c>
      <c r="C71" s="1">
        <v>2</v>
      </c>
    </row>
    <row r="72" spans="1:3" x14ac:dyDescent="0.25">
      <c r="A72" s="1" t="s">
        <v>27</v>
      </c>
      <c r="B72" s="1" t="str">
        <f t="shared" si="3"/>
        <v>Educational Services</v>
      </c>
      <c r="C72" s="1">
        <v>1</v>
      </c>
    </row>
    <row r="74" spans="1:3" x14ac:dyDescent="0.25">
      <c r="A74" s="39" t="s">
        <v>26</v>
      </c>
      <c r="B74" s="39"/>
      <c r="C74" s="39"/>
    </row>
    <row r="75" spans="1:3" x14ac:dyDescent="0.25">
      <c r="A75" s="1" t="s">
        <v>49</v>
      </c>
      <c r="B75" s="1" t="str">
        <f t="shared" ref="B75:B85" si="4">TRIM(A75)</f>
        <v> Arts, Entertainment &amp; Recreation</v>
      </c>
      <c r="C75" s="1">
        <v>7</v>
      </c>
    </row>
    <row r="76" spans="1:3" x14ac:dyDescent="0.25">
      <c r="A76" s="1" t="s">
        <v>14</v>
      </c>
      <c r="B76" s="1" t="str">
        <f t="shared" si="4"/>
        <v>Real Estate, Rental &amp; Leasing</v>
      </c>
      <c r="C76" s="1">
        <v>6</v>
      </c>
    </row>
    <row r="77" spans="1:3" x14ac:dyDescent="0.25">
      <c r="A77" s="1" t="s">
        <v>12</v>
      </c>
      <c r="B77" s="1" t="str">
        <f t="shared" si="4"/>
        <v>Educational Services</v>
      </c>
      <c r="C77" s="1">
        <v>5</v>
      </c>
    </row>
    <row r="78" spans="1:3" x14ac:dyDescent="0.25">
      <c r="A78" s="1" t="s">
        <v>9</v>
      </c>
      <c r="B78" s="1" t="str">
        <f t="shared" si="4"/>
        <v>Management of Companies &amp; Support Services</v>
      </c>
      <c r="C78" s="1">
        <v>4</v>
      </c>
    </row>
    <row r="79" spans="1:3" x14ac:dyDescent="0.25">
      <c r="A79" s="1" t="s">
        <v>33</v>
      </c>
      <c r="B79" s="1" t="str">
        <f t="shared" si="4"/>
        <v>Mining</v>
      </c>
      <c r="C79" s="1">
        <v>3</v>
      </c>
    </row>
    <row r="80" spans="1:3" x14ac:dyDescent="0.25">
      <c r="A80" s="1" t="s">
        <v>10</v>
      </c>
      <c r="B80" s="1" t="str">
        <f t="shared" si="4"/>
        <v>Public Administration</v>
      </c>
      <c r="C80" s="1">
        <v>2</v>
      </c>
    </row>
    <row r="81" spans="1:3" x14ac:dyDescent="0.25">
      <c r="A81" s="1" t="s">
        <v>45</v>
      </c>
      <c r="B81" s="1" t="str">
        <f t="shared" si="4"/>
        <v>Wholesale Trade</v>
      </c>
      <c r="C81" s="1">
        <v>1</v>
      </c>
    </row>
    <row r="82" spans="1:3" x14ac:dyDescent="0.25">
      <c r="A82" s="1" t="s">
        <v>25</v>
      </c>
      <c r="B82" s="1" t="str">
        <f t="shared" si="4"/>
        <v>Retail Trade</v>
      </c>
      <c r="C82" s="1">
        <v>-4</v>
      </c>
    </row>
    <row r="83" spans="1:3" x14ac:dyDescent="0.25">
      <c r="A83" s="1" t="s">
        <v>7</v>
      </c>
      <c r="B83" s="1" t="str">
        <f t="shared" si="4"/>
        <v>Construction</v>
      </c>
      <c r="C83" s="1">
        <v>-3</v>
      </c>
    </row>
    <row r="84" spans="1:3" x14ac:dyDescent="0.25">
      <c r="A84" s="1" t="s">
        <v>3</v>
      </c>
      <c r="B84" s="1" t="str">
        <f t="shared" si="4"/>
        <v>Utilities</v>
      </c>
      <c r="C84" s="1">
        <v>-2</v>
      </c>
    </row>
    <row r="85" spans="1:3" x14ac:dyDescent="0.25">
      <c r="A85" s="1" t="s">
        <v>43</v>
      </c>
      <c r="B85" s="1" t="str">
        <f t="shared" si="4"/>
        <v>Health Care &amp; Social Assistance</v>
      </c>
      <c r="C85" s="1">
        <v>-1</v>
      </c>
    </row>
    <row r="87" spans="1:3" x14ac:dyDescent="0.25">
      <c r="A87" s="39" t="s">
        <v>30</v>
      </c>
      <c r="B87" s="39"/>
      <c r="C87" s="39"/>
    </row>
    <row r="88" spans="1:3" x14ac:dyDescent="0.25">
      <c r="A88" s="1" t="s">
        <v>31</v>
      </c>
      <c r="B88" s="1" t="str">
        <f t="shared" ref="B88:B104" si="5">TRIM(A88)</f>
        <v>Accommodation &amp; Food Services</v>
      </c>
      <c r="C88" s="1">
        <v>16</v>
      </c>
    </row>
    <row r="89" spans="1:3" x14ac:dyDescent="0.25">
      <c r="A89" s="1" t="s">
        <v>7</v>
      </c>
      <c r="B89" s="1" t="str">
        <f t="shared" si="5"/>
        <v>Construction</v>
      </c>
      <c r="C89" s="1">
        <v>15</v>
      </c>
    </row>
    <row r="90" spans="1:3" x14ac:dyDescent="0.25">
      <c r="A90" s="1" t="s">
        <v>6</v>
      </c>
      <c r="B90" s="1" t="str">
        <f t="shared" si="5"/>
        <v>Wholesale Trade</v>
      </c>
      <c r="C90" s="1">
        <v>14</v>
      </c>
    </row>
    <row r="91" spans="1:3" x14ac:dyDescent="0.25">
      <c r="A91" s="1" t="s">
        <v>14</v>
      </c>
      <c r="B91" s="1" t="str">
        <f t="shared" si="5"/>
        <v>Real Estate, Rental &amp; Leasing</v>
      </c>
      <c r="C91" s="1">
        <v>13</v>
      </c>
    </row>
    <row r="92" spans="1:3" x14ac:dyDescent="0.25">
      <c r="A92" s="1" t="s">
        <v>13</v>
      </c>
      <c r="B92" s="1" t="str">
        <f t="shared" si="5"/>
        <v>Agriculture, Forestry, Fishing &amp; Hunting</v>
      </c>
      <c r="C92" s="1">
        <v>12</v>
      </c>
    </row>
    <row r="93" spans="1:3" x14ac:dyDescent="0.25">
      <c r="A93" s="1" t="s">
        <v>33</v>
      </c>
      <c r="B93" s="1" t="str">
        <f t="shared" si="5"/>
        <v>Mining</v>
      </c>
      <c r="C93" s="1">
        <v>11</v>
      </c>
    </row>
    <row r="94" spans="1:3" x14ac:dyDescent="0.25">
      <c r="A94" s="1" t="s">
        <v>5</v>
      </c>
      <c r="B94" s="1" t="str">
        <f t="shared" si="5"/>
        <v>Transportation &amp; Warehousing</v>
      </c>
      <c r="C94" s="1">
        <v>10</v>
      </c>
    </row>
    <row r="95" spans="1:3" x14ac:dyDescent="0.25">
      <c r="A95" s="1" t="s">
        <v>8</v>
      </c>
      <c r="B95" s="1" t="str">
        <f t="shared" si="5"/>
        <v>Retail Trade</v>
      </c>
      <c r="C95" s="1">
        <v>9</v>
      </c>
    </row>
    <row r="96" spans="1:3" x14ac:dyDescent="0.25">
      <c r="A96" s="1" t="s">
        <v>10</v>
      </c>
      <c r="B96" s="1" t="str">
        <f t="shared" si="5"/>
        <v>Public Administration</v>
      </c>
      <c r="C96" s="1">
        <v>8</v>
      </c>
    </row>
    <row r="97" spans="1:3" x14ac:dyDescent="0.25">
      <c r="A97" s="1" t="s">
        <v>2</v>
      </c>
      <c r="B97" s="1" t="str">
        <f t="shared" si="5"/>
        <v>Health Care &amp; Social Assistance</v>
      </c>
      <c r="C97" s="1">
        <v>7</v>
      </c>
    </row>
    <row r="98" spans="1:3" x14ac:dyDescent="0.25">
      <c r="A98" s="1" t="s">
        <v>11</v>
      </c>
      <c r="B98" s="1" t="str">
        <f t="shared" si="5"/>
        <v>Finance &amp; Insurance</v>
      </c>
      <c r="C98" s="1">
        <v>6</v>
      </c>
    </row>
    <row r="99" spans="1:3" x14ac:dyDescent="0.25">
      <c r="A99" s="1" t="s">
        <v>3</v>
      </c>
      <c r="B99" s="1" t="str">
        <f t="shared" si="5"/>
        <v>Utilities</v>
      </c>
      <c r="C99" s="1">
        <v>5</v>
      </c>
    </row>
    <row r="100" spans="1:3" x14ac:dyDescent="0.25">
      <c r="A100" s="1" t="s">
        <v>22</v>
      </c>
      <c r="B100" s="1" t="str">
        <f t="shared" si="5"/>
        <v>Other Services</v>
      </c>
      <c r="C100" s="1">
        <v>4</v>
      </c>
    </row>
    <row r="101" spans="1:3" x14ac:dyDescent="0.25">
      <c r="A101" s="1" t="s">
        <v>32</v>
      </c>
      <c r="B101" s="1" t="str">
        <f t="shared" si="5"/>
        <v>Professional, Scientific &amp; Technical Services</v>
      </c>
      <c r="C101" s="1">
        <v>3</v>
      </c>
    </row>
    <row r="102" spans="1:3" x14ac:dyDescent="0.25">
      <c r="A102" s="1" t="s">
        <v>12</v>
      </c>
      <c r="B102" s="1" t="str">
        <f t="shared" si="5"/>
        <v>Educational Services</v>
      </c>
      <c r="C102" s="1">
        <v>2</v>
      </c>
    </row>
    <row r="103" spans="1:3" x14ac:dyDescent="0.25">
      <c r="A103" s="1" t="s">
        <v>41</v>
      </c>
      <c r="B103" s="1" t="str">
        <f t="shared" si="5"/>
        <v>Management of Companies &amp; Support Services</v>
      </c>
      <c r="C103" s="1">
        <v>1</v>
      </c>
    </row>
    <row r="104" spans="1:3" x14ac:dyDescent="0.25">
      <c r="A104" s="1" t="s">
        <v>28</v>
      </c>
      <c r="B104" s="1" t="str">
        <f t="shared" si="5"/>
        <v>Information</v>
      </c>
      <c r="C104" s="1">
        <v>-1</v>
      </c>
    </row>
    <row r="106" spans="1:3" x14ac:dyDescent="0.25">
      <c r="A106" s="39" t="s">
        <v>3818</v>
      </c>
      <c r="B106" s="39"/>
      <c r="C106" s="39"/>
    </row>
    <row r="107" spans="1:3" x14ac:dyDescent="0.25">
      <c r="A107" s="2" t="s">
        <v>31</v>
      </c>
      <c r="B107" s="1" t="str">
        <f t="shared" ref="B107:B123" si="6">TRIM(A107)</f>
        <v>Accommodation &amp; Food Services</v>
      </c>
      <c r="C107" s="2">
        <v>14</v>
      </c>
    </row>
    <row r="108" spans="1:3" x14ac:dyDescent="0.25">
      <c r="A108" s="2" t="s">
        <v>42</v>
      </c>
      <c r="B108" s="1" t="str">
        <f t="shared" si="6"/>
        <v>Arts, Entertainment &amp; Recreation</v>
      </c>
      <c r="C108" s="2">
        <v>13</v>
      </c>
    </row>
    <row r="109" spans="1:3" x14ac:dyDescent="0.25">
      <c r="A109" s="2" t="s">
        <v>6</v>
      </c>
      <c r="B109" s="1" t="str">
        <f t="shared" si="6"/>
        <v>Wholesale Trade</v>
      </c>
      <c r="C109" s="2">
        <v>12</v>
      </c>
    </row>
    <row r="110" spans="1:3" x14ac:dyDescent="0.25">
      <c r="A110" s="2" t="s">
        <v>5</v>
      </c>
      <c r="B110" s="1" t="str">
        <f t="shared" si="6"/>
        <v>Transportation &amp; Warehousing</v>
      </c>
      <c r="C110" s="2">
        <v>11</v>
      </c>
    </row>
    <row r="111" spans="1:3" x14ac:dyDescent="0.25">
      <c r="A111" s="2" t="s">
        <v>10</v>
      </c>
      <c r="B111" s="1" t="str">
        <f t="shared" si="6"/>
        <v>Public Administration</v>
      </c>
      <c r="C111" s="2">
        <v>10</v>
      </c>
    </row>
    <row r="112" spans="1:3" x14ac:dyDescent="0.25">
      <c r="A112" s="2" t="s">
        <v>3</v>
      </c>
      <c r="B112" s="1" t="str">
        <f t="shared" si="6"/>
        <v>Utilities</v>
      </c>
      <c r="C112" s="2">
        <v>9</v>
      </c>
    </row>
    <row r="113" spans="1:3" x14ac:dyDescent="0.25">
      <c r="A113" s="2" t="s">
        <v>12</v>
      </c>
      <c r="B113" s="1" t="str">
        <f t="shared" si="6"/>
        <v>Educational Services</v>
      </c>
      <c r="C113" s="2">
        <v>8</v>
      </c>
    </row>
    <row r="114" spans="1:3" x14ac:dyDescent="0.25">
      <c r="A114" s="2" t="s">
        <v>9</v>
      </c>
      <c r="B114" s="1" t="str">
        <f t="shared" si="6"/>
        <v>Management of Companies &amp; Support Services</v>
      </c>
      <c r="C114" s="2">
        <v>7</v>
      </c>
    </row>
    <row r="115" spans="1:3" x14ac:dyDescent="0.25">
      <c r="A115" s="2" t="s">
        <v>7</v>
      </c>
      <c r="B115" s="1" t="str">
        <f t="shared" si="6"/>
        <v>Construction</v>
      </c>
      <c r="C115" s="2">
        <v>6</v>
      </c>
    </row>
    <row r="116" spans="1:3" x14ac:dyDescent="0.25">
      <c r="A116" s="2" t="s">
        <v>33</v>
      </c>
      <c r="B116" s="1" t="str">
        <f t="shared" si="6"/>
        <v>Mining</v>
      </c>
      <c r="C116" s="2">
        <v>5</v>
      </c>
    </row>
    <row r="117" spans="1:3" x14ac:dyDescent="0.25">
      <c r="A117" s="2" t="s">
        <v>11</v>
      </c>
      <c r="B117" s="1" t="str">
        <f t="shared" si="6"/>
        <v>Finance &amp; Insurance</v>
      </c>
      <c r="C117" s="2">
        <v>4</v>
      </c>
    </row>
    <row r="118" spans="1:3" x14ac:dyDescent="0.25">
      <c r="A118" s="2" t="s">
        <v>2</v>
      </c>
      <c r="B118" s="1" t="str">
        <f t="shared" si="6"/>
        <v>Health Care &amp; Social Assistance</v>
      </c>
      <c r="C118" s="2">
        <v>3</v>
      </c>
    </row>
    <row r="119" spans="1:3" x14ac:dyDescent="0.25">
      <c r="A119" s="2" t="s">
        <v>17</v>
      </c>
      <c r="B119" s="1" t="str">
        <f t="shared" si="6"/>
        <v>Information</v>
      </c>
      <c r="C119" s="2">
        <v>2</v>
      </c>
    </row>
    <row r="120" spans="1:3" x14ac:dyDescent="0.25">
      <c r="A120" s="2" t="s">
        <v>15</v>
      </c>
      <c r="B120" s="1" t="str">
        <f t="shared" si="6"/>
        <v>Professional, Scientific &amp; Technical Services</v>
      </c>
      <c r="C120" s="2">
        <v>1</v>
      </c>
    </row>
    <row r="121" spans="1:3" x14ac:dyDescent="0.25">
      <c r="A121" s="2" t="s">
        <v>29</v>
      </c>
      <c r="B121" s="1" t="str">
        <f t="shared" si="6"/>
        <v>Real Estate, Rental &amp; Leasing</v>
      </c>
      <c r="C121" s="2">
        <v>-3</v>
      </c>
    </row>
    <row r="122" spans="1:3" x14ac:dyDescent="0.25">
      <c r="A122" s="2" t="s">
        <v>13</v>
      </c>
      <c r="B122" s="1" t="str">
        <f t="shared" si="6"/>
        <v>Agriculture, Forestry, Fishing &amp; Hunting</v>
      </c>
      <c r="C122" s="2">
        <v>-2</v>
      </c>
    </row>
    <row r="123" spans="1:3" x14ac:dyDescent="0.25">
      <c r="A123" s="2" t="s">
        <v>18</v>
      </c>
      <c r="B123" s="1" t="str">
        <f t="shared" si="6"/>
        <v>Other Services</v>
      </c>
      <c r="C123" s="2">
        <v>-1</v>
      </c>
    </row>
  </sheetData>
  <mergeCells count="7">
    <mergeCell ref="A106:C106"/>
    <mergeCell ref="A87:C87"/>
    <mergeCell ref="A1:C1"/>
    <mergeCell ref="A21:C21"/>
    <mergeCell ref="A36:C36"/>
    <mergeCell ref="A55:C55"/>
    <mergeCell ref="A74:C74"/>
  </mergeCells>
  <pageMargins left="0.7" right="0.7" top="0.75" bottom="0.75" header="0.51180555555555496" footer="0.51180555555555496"/>
  <pageSetup paperSize="9" firstPageNumber="0"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P127"/>
  <sheetViews>
    <sheetView zoomScaleNormal="100" workbookViewId="0">
      <selection activeCell="K24" sqref="K24"/>
    </sheetView>
  </sheetViews>
  <sheetFormatPr defaultRowHeight="15" x14ac:dyDescent="0.25"/>
  <cols>
    <col min="1" max="1" width="43.85546875" customWidth="1"/>
    <col min="2" max="2" width="43.42578125" customWidth="1"/>
    <col min="3" max="1025" width="8.7109375" customWidth="1"/>
  </cols>
  <sheetData>
    <row r="1" spans="1:7" x14ac:dyDescent="0.25">
      <c r="A1" s="39" t="s">
        <v>0</v>
      </c>
      <c r="B1" s="39"/>
      <c r="C1" s="39"/>
    </row>
    <row r="2" spans="1:7" x14ac:dyDescent="0.25">
      <c r="A2" s="1" t="s">
        <v>1</v>
      </c>
      <c r="B2" s="1" t="str">
        <f t="shared" ref="B2:B19" si="0">TRIM(A2)</f>
        <v>Arts, Entertainment &amp; Recreation</v>
      </c>
      <c r="C2" s="1">
        <v>18</v>
      </c>
      <c r="F2" t="s">
        <v>31</v>
      </c>
      <c r="G2" t="s">
        <v>3962</v>
      </c>
    </row>
    <row r="3" spans="1:7" x14ac:dyDescent="0.25">
      <c r="A3" s="1" t="s">
        <v>6</v>
      </c>
      <c r="B3" s="1" t="str">
        <f t="shared" si="0"/>
        <v>Wholesale Trade</v>
      </c>
      <c r="C3" s="1">
        <v>17</v>
      </c>
      <c r="F3" t="s">
        <v>1</v>
      </c>
      <c r="G3" t="s">
        <v>3963</v>
      </c>
    </row>
    <row r="4" spans="1:7" x14ac:dyDescent="0.25">
      <c r="A4" s="1" t="s">
        <v>33</v>
      </c>
      <c r="B4" s="1" t="str">
        <f t="shared" si="0"/>
        <v>Mining</v>
      </c>
      <c r="C4" s="1">
        <v>16</v>
      </c>
      <c r="F4" t="s">
        <v>20</v>
      </c>
      <c r="G4" t="s">
        <v>3964</v>
      </c>
    </row>
    <row r="5" spans="1:7" x14ac:dyDescent="0.25">
      <c r="A5" s="1" t="s">
        <v>9</v>
      </c>
      <c r="B5" s="1" t="str">
        <f t="shared" si="0"/>
        <v>Management of Companies &amp; Support Services</v>
      </c>
      <c r="C5" s="1">
        <v>15</v>
      </c>
      <c r="F5" t="s">
        <v>27</v>
      </c>
      <c r="G5" t="s">
        <v>3965</v>
      </c>
    </row>
    <row r="6" spans="1:7" x14ac:dyDescent="0.25">
      <c r="A6" s="1" t="s">
        <v>20</v>
      </c>
      <c r="B6" s="1" t="str">
        <f t="shared" si="0"/>
        <v>Construction</v>
      </c>
      <c r="C6" s="1">
        <v>14</v>
      </c>
      <c r="F6" t="s">
        <v>23</v>
      </c>
      <c r="G6" t="s">
        <v>3966</v>
      </c>
    </row>
    <row r="7" spans="1:7" x14ac:dyDescent="0.25">
      <c r="A7" s="1" t="s">
        <v>35</v>
      </c>
      <c r="B7" s="1" t="str">
        <f t="shared" si="0"/>
        <v>Agriculture, Forestry, Fishing &amp; Hunting</v>
      </c>
      <c r="C7" s="1">
        <v>13</v>
      </c>
      <c r="F7" t="s">
        <v>43</v>
      </c>
      <c r="G7" t="s">
        <v>3967</v>
      </c>
    </row>
    <row r="8" spans="1:7" x14ac:dyDescent="0.25">
      <c r="A8" s="1" t="s">
        <v>4</v>
      </c>
      <c r="B8" s="1" t="str">
        <f t="shared" si="0"/>
        <v>Accommodation &amp; Food Services</v>
      </c>
      <c r="C8" s="1">
        <v>12</v>
      </c>
      <c r="F8" t="s">
        <v>28</v>
      </c>
      <c r="G8" t="s">
        <v>3968</v>
      </c>
    </row>
    <row r="9" spans="1:7" x14ac:dyDescent="0.25">
      <c r="A9" s="1" t="s">
        <v>14</v>
      </c>
      <c r="B9" s="1" t="str">
        <f t="shared" si="0"/>
        <v>Real Estate, Rental &amp; Leasing</v>
      </c>
      <c r="C9" s="1">
        <v>11</v>
      </c>
      <c r="F9" t="s">
        <v>16</v>
      </c>
      <c r="G9" t="s">
        <v>3969</v>
      </c>
    </row>
    <row r="10" spans="1:7" x14ac:dyDescent="0.25">
      <c r="A10" s="1" t="s">
        <v>5</v>
      </c>
      <c r="B10" s="1" t="str">
        <f t="shared" si="0"/>
        <v>Transportation &amp; Warehousing</v>
      </c>
      <c r="C10" s="1">
        <v>10</v>
      </c>
      <c r="F10" t="s">
        <v>15</v>
      </c>
      <c r="G10" t="s">
        <v>3970</v>
      </c>
    </row>
    <row r="11" spans="1:7" x14ac:dyDescent="0.25">
      <c r="A11" s="1" t="s">
        <v>10</v>
      </c>
      <c r="B11" s="1" t="str">
        <f t="shared" si="0"/>
        <v>Public Administration</v>
      </c>
      <c r="C11" s="1">
        <v>9</v>
      </c>
      <c r="F11" t="s">
        <v>29</v>
      </c>
      <c r="G11" t="s">
        <v>3971</v>
      </c>
    </row>
    <row r="12" spans="1:7" x14ac:dyDescent="0.25">
      <c r="A12" s="1" t="s">
        <v>11</v>
      </c>
      <c r="B12" s="1" t="str">
        <f t="shared" si="0"/>
        <v>Finance &amp; Insurance</v>
      </c>
      <c r="C12" s="1">
        <v>8</v>
      </c>
      <c r="F12" t="s">
        <v>25</v>
      </c>
      <c r="G12" t="s">
        <v>3972</v>
      </c>
    </row>
    <row r="13" spans="1:7" x14ac:dyDescent="0.25">
      <c r="A13" s="1" t="s">
        <v>3</v>
      </c>
      <c r="B13" s="1" t="str">
        <f t="shared" si="0"/>
        <v>Utilities</v>
      </c>
      <c r="C13" s="1">
        <v>7</v>
      </c>
      <c r="F13" t="s">
        <v>36</v>
      </c>
      <c r="G13" t="s">
        <v>3973</v>
      </c>
    </row>
    <row r="14" spans="1:7" x14ac:dyDescent="0.25">
      <c r="A14" s="1" t="s">
        <v>2</v>
      </c>
      <c r="B14" s="1" t="str">
        <f t="shared" si="0"/>
        <v>Health Care &amp; Social Assistance</v>
      </c>
      <c r="C14" s="1">
        <v>6</v>
      </c>
    </row>
    <row r="15" spans="1:7" x14ac:dyDescent="0.25">
      <c r="A15" s="1" t="s">
        <v>32</v>
      </c>
      <c r="B15" s="1" t="str">
        <f t="shared" si="0"/>
        <v>Professional, Scientific &amp; Technical Services</v>
      </c>
      <c r="C15" s="1">
        <v>5</v>
      </c>
    </row>
    <row r="16" spans="1:7" x14ac:dyDescent="0.25">
      <c r="A16" s="1" t="s">
        <v>17</v>
      </c>
      <c r="B16" s="1" t="str">
        <f t="shared" si="0"/>
        <v>Information</v>
      </c>
      <c r="C16" s="1">
        <v>4</v>
      </c>
    </row>
    <row r="17" spans="1:16" x14ac:dyDescent="0.25">
      <c r="A17" s="1" t="s">
        <v>8</v>
      </c>
      <c r="B17" s="1" t="str">
        <f t="shared" si="0"/>
        <v>Retail Trade</v>
      </c>
      <c r="C17" s="1">
        <v>3</v>
      </c>
    </row>
    <row r="18" spans="1:16" x14ac:dyDescent="0.25">
      <c r="A18" s="1" t="s">
        <v>12</v>
      </c>
      <c r="B18" s="1" t="str">
        <f t="shared" si="0"/>
        <v>Educational Services</v>
      </c>
      <c r="C18" s="1">
        <v>2</v>
      </c>
    </row>
    <row r="19" spans="1:16" x14ac:dyDescent="0.25">
      <c r="A19" s="1" t="s">
        <v>18</v>
      </c>
      <c r="B19" s="1" t="str">
        <f t="shared" si="0"/>
        <v>Other Services</v>
      </c>
      <c r="C19" s="1">
        <v>1</v>
      </c>
    </row>
    <row r="21" spans="1:16" x14ac:dyDescent="0.25">
      <c r="A21" s="39" t="s">
        <v>19</v>
      </c>
      <c r="B21" s="39"/>
      <c r="C21" s="39"/>
    </row>
    <row r="22" spans="1:16" x14ac:dyDescent="0.25">
      <c r="A22" s="1" t="s">
        <v>1</v>
      </c>
      <c r="B22" s="1" t="str">
        <f t="shared" ref="B22:B38" si="1">TRIM(A22)</f>
        <v>Arts, Entertainment &amp; Recreation</v>
      </c>
      <c r="C22" s="1">
        <v>17</v>
      </c>
    </row>
    <row r="23" spans="1:16" x14ac:dyDescent="0.25">
      <c r="A23" s="1" t="s">
        <v>33</v>
      </c>
      <c r="B23" s="1" t="str">
        <f t="shared" si="1"/>
        <v>Mining</v>
      </c>
      <c r="C23" s="1">
        <v>16</v>
      </c>
      <c r="P23" t="s">
        <v>3961</v>
      </c>
    </row>
    <row r="24" spans="1:16" x14ac:dyDescent="0.25">
      <c r="A24" s="1" t="s">
        <v>9</v>
      </c>
      <c r="B24" s="1" t="str">
        <f t="shared" si="1"/>
        <v>Management of Companies &amp; Support Services</v>
      </c>
      <c r="C24" s="1">
        <v>15</v>
      </c>
    </row>
    <row r="25" spans="1:16" x14ac:dyDescent="0.25">
      <c r="A25" s="1" t="s">
        <v>6</v>
      </c>
      <c r="B25" s="1" t="str">
        <f t="shared" si="1"/>
        <v>Wholesale Trade</v>
      </c>
      <c r="C25" s="1">
        <v>14</v>
      </c>
    </row>
    <row r="26" spans="1:16" x14ac:dyDescent="0.25">
      <c r="A26" s="1" t="s">
        <v>4</v>
      </c>
      <c r="B26" s="1" t="str">
        <f t="shared" si="1"/>
        <v>Accommodation &amp; Food Services</v>
      </c>
      <c r="C26" s="1">
        <v>13</v>
      </c>
    </row>
    <row r="27" spans="1:16" x14ac:dyDescent="0.25">
      <c r="A27" s="1" t="s">
        <v>3</v>
      </c>
      <c r="B27" s="1" t="str">
        <f t="shared" si="1"/>
        <v>Utilities</v>
      </c>
      <c r="C27" s="1">
        <v>12</v>
      </c>
    </row>
    <row r="28" spans="1:16" x14ac:dyDescent="0.25">
      <c r="A28" s="1" t="s">
        <v>10</v>
      </c>
      <c r="B28" s="1" t="str">
        <f t="shared" si="1"/>
        <v>Public Administration</v>
      </c>
      <c r="C28" s="1">
        <v>11</v>
      </c>
    </row>
    <row r="29" spans="1:16" x14ac:dyDescent="0.25">
      <c r="A29" s="1" t="s">
        <v>2</v>
      </c>
      <c r="B29" s="1" t="str">
        <f t="shared" si="1"/>
        <v>Health Care &amp; Social Assistance</v>
      </c>
      <c r="C29" s="1">
        <v>10</v>
      </c>
    </row>
    <row r="30" spans="1:16" x14ac:dyDescent="0.25">
      <c r="A30" s="1" t="s">
        <v>32</v>
      </c>
      <c r="B30" s="1" t="str">
        <f t="shared" si="1"/>
        <v>Professional, Scientific &amp; Technical Services</v>
      </c>
      <c r="C30" s="1">
        <v>9</v>
      </c>
    </row>
    <row r="31" spans="1:16" x14ac:dyDescent="0.25">
      <c r="A31" s="1" t="s">
        <v>8</v>
      </c>
      <c r="B31" s="1" t="str">
        <f t="shared" si="1"/>
        <v>Retail Trade</v>
      </c>
      <c r="C31" s="1">
        <v>8</v>
      </c>
    </row>
    <row r="32" spans="1:16" x14ac:dyDescent="0.25">
      <c r="A32" s="1" t="s">
        <v>5</v>
      </c>
      <c r="B32" s="1" t="str">
        <f t="shared" si="1"/>
        <v>Transportation &amp; Warehousing</v>
      </c>
      <c r="C32" s="1">
        <v>7</v>
      </c>
    </row>
    <row r="33" spans="1:3" x14ac:dyDescent="0.25">
      <c r="A33" s="1" t="s">
        <v>13</v>
      </c>
      <c r="B33" s="1" t="str">
        <f t="shared" si="1"/>
        <v>Agriculture, Forestry, Fishing &amp; Hunting</v>
      </c>
      <c r="C33" s="1">
        <v>6</v>
      </c>
    </row>
    <row r="34" spans="1:3" x14ac:dyDescent="0.25">
      <c r="A34" s="1" t="s">
        <v>14</v>
      </c>
      <c r="B34" s="1" t="str">
        <f t="shared" si="1"/>
        <v>Real Estate, Rental &amp; Leasing</v>
      </c>
      <c r="C34" s="1">
        <v>5</v>
      </c>
    </row>
    <row r="35" spans="1:3" x14ac:dyDescent="0.25">
      <c r="A35" s="1" t="s">
        <v>11</v>
      </c>
      <c r="B35" s="1" t="str">
        <f t="shared" si="1"/>
        <v>Finance &amp; Insurance</v>
      </c>
      <c r="C35" s="1">
        <v>4</v>
      </c>
    </row>
    <row r="36" spans="1:3" x14ac:dyDescent="0.25">
      <c r="A36" s="1" t="s">
        <v>7</v>
      </c>
      <c r="B36" s="1" t="str">
        <f t="shared" si="1"/>
        <v>Construction</v>
      </c>
      <c r="C36" s="1">
        <v>3</v>
      </c>
    </row>
    <row r="37" spans="1:3" x14ac:dyDescent="0.25">
      <c r="A37" s="1" t="s">
        <v>17</v>
      </c>
      <c r="B37" s="1" t="str">
        <f t="shared" si="1"/>
        <v>Information</v>
      </c>
      <c r="C37" s="1">
        <v>2</v>
      </c>
    </row>
    <row r="38" spans="1:3" x14ac:dyDescent="0.25">
      <c r="A38" s="1" t="s">
        <v>27</v>
      </c>
      <c r="B38" s="1" t="str">
        <f t="shared" si="1"/>
        <v>Educational Services</v>
      </c>
      <c r="C38" s="1">
        <v>1</v>
      </c>
    </row>
    <row r="40" spans="1:3" x14ac:dyDescent="0.25">
      <c r="A40" s="39" t="s">
        <v>21</v>
      </c>
      <c r="B40" s="39"/>
      <c r="C40" s="39"/>
    </row>
    <row r="41" spans="1:3" x14ac:dyDescent="0.25">
      <c r="A41" s="1" t="s">
        <v>1</v>
      </c>
      <c r="B41" s="1" t="str">
        <f t="shared" ref="B41:B53" si="2">TRIM(A41)</f>
        <v>Arts, Entertainment &amp; Recreation</v>
      </c>
      <c r="C41" s="1">
        <v>10</v>
      </c>
    </row>
    <row r="42" spans="1:3" x14ac:dyDescent="0.25">
      <c r="A42" s="1" t="s">
        <v>9</v>
      </c>
      <c r="B42" s="1" t="str">
        <f t="shared" si="2"/>
        <v>Management of Companies &amp; Support Services</v>
      </c>
      <c r="C42" s="1">
        <v>9</v>
      </c>
    </row>
    <row r="43" spans="1:3" x14ac:dyDescent="0.25">
      <c r="A43" s="1" t="s">
        <v>6</v>
      </c>
      <c r="B43" s="1" t="str">
        <f t="shared" si="2"/>
        <v>Wholesale Trade</v>
      </c>
      <c r="C43" s="1">
        <v>8</v>
      </c>
    </row>
    <row r="44" spans="1:3" x14ac:dyDescent="0.25">
      <c r="A44" s="1" t="s">
        <v>7</v>
      </c>
      <c r="B44" s="1" t="str">
        <f t="shared" si="2"/>
        <v>Construction</v>
      </c>
      <c r="C44" s="1">
        <v>7</v>
      </c>
    </row>
    <row r="45" spans="1:3" x14ac:dyDescent="0.25">
      <c r="A45" s="1" t="s">
        <v>11</v>
      </c>
      <c r="B45" s="1" t="str">
        <f t="shared" si="2"/>
        <v>Finance &amp; Insurance</v>
      </c>
      <c r="C45" s="1">
        <v>6</v>
      </c>
    </row>
    <row r="46" spans="1:3" x14ac:dyDescent="0.25">
      <c r="A46" s="1" t="s">
        <v>22</v>
      </c>
      <c r="B46" s="1" t="str">
        <f t="shared" si="2"/>
        <v>Other Services</v>
      </c>
      <c r="C46" s="1">
        <v>5</v>
      </c>
    </row>
    <row r="47" spans="1:3" x14ac:dyDescent="0.25">
      <c r="A47" s="1" t="s">
        <v>4</v>
      </c>
      <c r="B47" s="1" t="str">
        <f t="shared" si="2"/>
        <v>Accommodation &amp; Food Services</v>
      </c>
      <c r="C47" s="1">
        <v>4</v>
      </c>
    </row>
    <row r="48" spans="1:3" x14ac:dyDescent="0.25">
      <c r="A48" s="1" t="s">
        <v>10</v>
      </c>
      <c r="B48" s="1" t="str">
        <f t="shared" si="2"/>
        <v>Public Administration</v>
      </c>
      <c r="C48" s="1">
        <v>3</v>
      </c>
    </row>
    <row r="49" spans="1:3" x14ac:dyDescent="0.25">
      <c r="A49" s="1" t="s">
        <v>12</v>
      </c>
      <c r="B49" s="1" t="str">
        <f t="shared" si="2"/>
        <v>Educational Services</v>
      </c>
      <c r="C49" s="1">
        <v>2</v>
      </c>
    </row>
    <row r="50" spans="1:3" x14ac:dyDescent="0.25">
      <c r="A50" s="1" t="s">
        <v>15</v>
      </c>
      <c r="B50" s="1" t="str">
        <f t="shared" si="2"/>
        <v>Professional, Scientific &amp; Technical Services</v>
      </c>
      <c r="C50" s="1">
        <v>1</v>
      </c>
    </row>
    <row r="51" spans="1:3" x14ac:dyDescent="0.25">
      <c r="A51" s="1" t="s">
        <v>40</v>
      </c>
      <c r="B51" s="1" t="str">
        <f t="shared" si="2"/>
        <v>Utilities</v>
      </c>
      <c r="C51" s="1">
        <v>-3</v>
      </c>
    </row>
    <row r="52" spans="1:3" x14ac:dyDescent="0.25">
      <c r="A52" s="1" t="s">
        <v>17</v>
      </c>
      <c r="B52" s="1" t="str">
        <f t="shared" si="2"/>
        <v>Information</v>
      </c>
      <c r="C52" s="1">
        <v>-2</v>
      </c>
    </row>
    <row r="53" spans="1:3" x14ac:dyDescent="0.25">
      <c r="A53" s="1" t="s">
        <v>43</v>
      </c>
      <c r="B53" s="1" t="str">
        <f t="shared" si="2"/>
        <v>Health Care &amp; Social Assistance</v>
      </c>
      <c r="C53" s="1">
        <v>-1</v>
      </c>
    </row>
    <row r="55" spans="1:3" x14ac:dyDescent="0.25">
      <c r="A55" s="39" t="s">
        <v>24</v>
      </c>
      <c r="B55" s="39"/>
      <c r="C55" s="39"/>
    </row>
    <row r="56" spans="1:3" x14ac:dyDescent="0.25">
      <c r="A56" s="1" t="s">
        <v>36</v>
      </c>
      <c r="B56" s="1" t="str">
        <f t="shared" ref="B56:B71" si="3">TRIM(A56)</f>
        <v>Wholesale Trade</v>
      </c>
      <c r="C56" s="1">
        <v>-14</v>
      </c>
    </row>
    <row r="57" spans="1:3" x14ac:dyDescent="0.25">
      <c r="A57" s="1" t="s">
        <v>13</v>
      </c>
      <c r="B57" s="1" t="str">
        <f t="shared" si="3"/>
        <v>Agriculture, Forestry, Fishing &amp; Hunting</v>
      </c>
      <c r="C57" s="1">
        <v>-13</v>
      </c>
    </row>
    <row r="58" spans="1:3" x14ac:dyDescent="0.25">
      <c r="A58" s="1" t="s">
        <v>33</v>
      </c>
      <c r="B58" s="1" t="str">
        <f t="shared" si="3"/>
        <v>Mining</v>
      </c>
      <c r="C58" s="1">
        <v>-12</v>
      </c>
    </row>
    <row r="59" spans="1:3" x14ac:dyDescent="0.25">
      <c r="A59" s="1" t="s">
        <v>5</v>
      </c>
      <c r="B59" s="1" t="str">
        <f t="shared" si="3"/>
        <v>Transportation &amp; Warehousing</v>
      </c>
      <c r="C59" s="1">
        <v>-11</v>
      </c>
    </row>
    <row r="60" spans="1:3" x14ac:dyDescent="0.25">
      <c r="A60" s="1" t="s">
        <v>7</v>
      </c>
      <c r="B60" s="1" t="str">
        <f t="shared" si="3"/>
        <v>Construction</v>
      </c>
      <c r="C60" s="1">
        <v>-10</v>
      </c>
    </row>
    <row r="61" spans="1:3" x14ac:dyDescent="0.25">
      <c r="A61" s="1" t="s">
        <v>14</v>
      </c>
      <c r="B61" s="1" t="str">
        <f t="shared" si="3"/>
        <v>Real Estate, Rental &amp; Leasing</v>
      </c>
      <c r="C61" s="1">
        <v>-9</v>
      </c>
    </row>
    <row r="62" spans="1:3" x14ac:dyDescent="0.25">
      <c r="A62" s="1" t="s">
        <v>42</v>
      </c>
      <c r="B62" s="1" t="str">
        <f t="shared" si="3"/>
        <v>Arts, Entertainment &amp; Recreation</v>
      </c>
      <c r="C62" s="1">
        <v>-8</v>
      </c>
    </row>
    <row r="63" spans="1:3" x14ac:dyDescent="0.25">
      <c r="A63" s="1" t="s">
        <v>9</v>
      </c>
      <c r="B63" s="1" t="str">
        <f t="shared" si="3"/>
        <v>Management of Companies &amp; Support Services</v>
      </c>
      <c r="C63" s="1">
        <v>-7</v>
      </c>
    </row>
    <row r="64" spans="1:3" x14ac:dyDescent="0.25">
      <c r="A64" s="1" t="s">
        <v>2</v>
      </c>
      <c r="B64" s="1" t="str">
        <f t="shared" si="3"/>
        <v>Health Care &amp; Social Assistance</v>
      </c>
      <c r="C64" s="1">
        <v>-6</v>
      </c>
    </row>
    <row r="65" spans="1:3" x14ac:dyDescent="0.25">
      <c r="A65" s="1" t="s">
        <v>3</v>
      </c>
      <c r="B65" s="1" t="str">
        <f t="shared" si="3"/>
        <v>Utilities</v>
      </c>
      <c r="C65" s="1">
        <v>-5</v>
      </c>
    </row>
    <row r="66" spans="1:3" x14ac:dyDescent="0.25">
      <c r="A66" s="1" t="s">
        <v>22</v>
      </c>
      <c r="B66" s="1" t="str">
        <f t="shared" si="3"/>
        <v>Other Services</v>
      </c>
      <c r="C66" s="1">
        <v>-4</v>
      </c>
    </row>
    <row r="67" spans="1:3" x14ac:dyDescent="0.25">
      <c r="A67" s="1" t="s">
        <v>17</v>
      </c>
      <c r="B67" s="1" t="str">
        <f t="shared" si="3"/>
        <v>Information</v>
      </c>
      <c r="C67" s="1">
        <v>-3</v>
      </c>
    </row>
    <row r="68" spans="1:3" x14ac:dyDescent="0.25">
      <c r="A68" s="1" t="s">
        <v>32</v>
      </c>
      <c r="B68" s="1" t="str">
        <f t="shared" si="3"/>
        <v>Professional, Scientific &amp; Technical Services</v>
      </c>
      <c r="C68" s="1">
        <v>-2</v>
      </c>
    </row>
    <row r="69" spans="1:3" x14ac:dyDescent="0.25">
      <c r="A69" s="1" t="s">
        <v>34</v>
      </c>
      <c r="B69" s="1" t="str">
        <f t="shared" si="3"/>
        <v>Public Administration</v>
      </c>
      <c r="C69" s="1">
        <v>-1</v>
      </c>
    </row>
    <row r="70" spans="1:3" x14ac:dyDescent="0.25">
      <c r="A70" s="1" t="s">
        <v>23</v>
      </c>
      <c r="B70" s="1" t="str">
        <f t="shared" si="3"/>
        <v>Finance &amp; Insurance</v>
      </c>
      <c r="C70" s="1">
        <v>1</v>
      </c>
    </row>
    <row r="71" spans="1:3" x14ac:dyDescent="0.25">
      <c r="A71" s="1" t="s">
        <v>27</v>
      </c>
      <c r="B71" s="1" t="str">
        <f t="shared" si="3"/>
        <v>Educational Services</v>
      </c>
      <c r="C71" s="1">
        <v>2</v>
      </c>
    </row>
    <row r="73" spans="1:3" x14ac:dyDescent="0.25">
      <c r="A73" s="39" t="s">
        <v>26</v>
      </c>
      <c r="B73" s="39"/>
      <c r="C73" s="39"/>
    </row>
    <row r="74" spans="1:3" x14ac:dyDescent="0.25">
      <c r="A74" s="1" t="s">
        <v>23</v>
      </c>
      <c r="B74" s="1" t="str">
        <f t="shared" ref="B74:B87" si="4">TRIM(A74)</f>
        <v>Finance &amp; Insurance</v>
      </c>
      <c r="C74" s="1">
        <v>9</v>
      </c>
    </row>
    <row r="75" spans="1:3" x14ac:dyDescent="0.25">
      <c r="A75" s="1" t="s">
        <v>5</v>
      </c>
      <c r="B75" s="1" t="str">
        <f t="shared" si="4"/>
        <v>Transportation &amp; Warehousing</v>
      </c>
      <c r="C75" s="1">
        <v>8</v>
      </c>
    </row>
    <row r="76" spans="1:3" x14ac:dyDescent="0.25">
      <c r="A76" s="1" t="s">
        <v>22</v>
      </c>
      <c r="B76" s="1" t="str">
        <f t="shared" si="4"/>
        <v>Other Services</v>
      </c>
      <c r="C76" s="1">
        <v>7</v>
      </c>
    </row>
    <row r="77" spans="1:3" x14ac:dyDescent="0.25">
      <c r="A77" s="1" t="s">
        <v>3</v>
      </c>
      <c r="B77" s="1" t="str">
        <f t="shared" si="4"/>
        <v>Utilities</v>
      </c>
      <c r="C77" s="1">
        <v>6</v>
      </c>
    </row>
    <row r="78" spans="1:3" x14ac:dyDescent="0.25">
      <c r="A78" s="1" t="s">
        <v>6</v>
      </c>
      <c r="B78" s="1" t="str">
        <f t="shared" si="4"/>
        <v>Wholesale Trade</v>
      </c>
      <c r="C78" s="1">
        <v>5</v>
      </c>
    </row>
    <row r="79" spans="1:3" x14ac:dyDescent="0.25">
      <c r="A79" s="1" t="s">
        <v>7</v>
      </c>
      <c r="B79" s="1" t="str">
        <f t="shared" si="4"/>
        <v>Construction</v>
      </c>
      <c r="C79" s="1">
        <v>4</v>
      </c>
    </row>
    <row r="80" spans="1:3" x14ac:dyDescent="0.25">
      <c r="A80" s="1" t="s">
        <v>17</v>
      </c>
      <c r="B80" s="1" t="str">
        <f t="shared" si="4"/>
        <v>Information</v>
      </c>
      <c r="C80" s="1">
        <v>3</v>
      </c>
    </row>
    <row r="81" spans="1:3" x14ac:dyDescent="0.25">
      <c r="A81" s="1" t="s">
        <v>9</v>
      </c>
      <c r="B81" s="1" t="str">
        <f t="shared" si="4"/>
        <v>Management of Companies &amp; Support Services</v>
      </c>
      <c r="C81" s="1">
        <v>2</v>
      </c>
    </row>
    <row r="82" spans="1:3" x14ac:dyDescent="0.25">
      <c r="A82" s="1" t="s">
        <v>27</v>
      </c>
      <c r="B82" s="1" t="str">
        <f t="shared" si="4"/>
        <v>Educational Services</v>
      </c>
      <c r="C82" s="1">
        <v>1</v>
      </c>
    </row>
    <row r="83" spans="1:3" x14ac:dyDescent="0.25">
      <c r="A83" s="1" t="s">
        <v>1</v>
      </c>
      <c r="B83" s="1" t="str">
        <f t="shared" si="4"/>
        <v>Arts, Entertainment &amp; Recreation</v>
      </c>
      <c r="C83" s="1">
        <v>-5</v>
      </c>
    </row>
    <row r="84" spans="1:3" x14ac:dyDescent="0.25">
      <c r="A84" s="1" t="s">
        <v>8</v>
      </c>
      <c r="B84" s="1" t="str">
        <f t="shared" si="4"/>
        <v>Retail Trade</v>
      </c>
      <c r="C84" s="1">
        <v>-4</v>
      </c>
    </row>
    <row r="85" spans="1:3" x14ac:dyDescent="0.25">
      <c r="A85" s="1" t="s">
        <v>10</v>
      </c>
      <c r="B85" s="1" t="str">
        <f t="shared" si="4"/>
        <v>Public Administration</v>
      </c>
      <c r="C85" s="1">
        <v>-3</v>
      </c>
    </row>
    <row r="86" spans="1:3" x14ac:dyDescent="0.25">
      <c r="A86" s="1" t="s">
        <v>2</v>
      </c>
      <c r="B86" s="1" t="str">
        <f t="shared" si="4"/>
        <v>Health Care &amp; Social Assistance</v>
      </c>
      <c r="C86" s="1">
        <v>-2</v>
      </c>
    </row>
    <row r="87" spans="1:3" x14ac:dyDescent="0.25">
      <c r="A87" s="1" t="s">
        <v>15</v>
      </c>
      <c r="B87" s="1" t="str">
        <f t="shared" si="4"/>
        <v>Professional, Scientific &amp; Technical Services</v>
      </c>
      <c r="C87" s="1">
        <v>-1</v>
      </c>
    </row>
    <row r="89" spans="1:3" x14ac:dyDescent="0.25">
      <c r="A89" s="39" t="s">
        <v>30</v>
      </c>
      <c r="B89" s="39"/>
      <c r="C89" s="39"/>
    </row>
    <row r="90" spans="1:3" x14ac:dyDescent="0.25">
      <c r="A90" s="1" t="s">
        <v>20</v>
      </c>
      <c r="B90" s="1" t="str">
        <f t="shared" ref="B90:B107" si="5">TRIM(A90)</f>
        <v>Construction</v>
      </c>
      <c r="C90" s="1">
        <v>18</v>
      </c>
    </row>
    <row r="91" spans="1:3" x14ac:dyDescent="0.25">
      <c r="A91" s="1" t="s">
        <v>6</v>
      </c>
      <c r="B91" s="1" t="str">
        <f t="shared" si="5"/>
        <v>Wholesale Trade</v>
      </c>
      <c r="C91" s="1">
        <v>17</v>
      </c>
    </row>
    <row r="92" spans="1:3" x14ac:dyDescent="0.25">
      <c r="A92" s="1" t="s">
        <v>3</v>
      </c>
      <c r="B92" s="1" t="str">
        <f t="shared" si="5"/>
        <v>Utilities</v>
      </c>
      <c r="C92" s="1">
        <v>16</v>
      </c>
    </row>
    <row r="93" spans="1:3" x14ac:dyDescent="0.25">
      <c r="A93" s="1" t="s">
        <v>33</v>
      </c>
      <c r="B93" s="1" t="str">
        <f t="shared" si="5"/>
        <v>Mining</v>
      </c>
      <c r="C93" s="1">
        <v>15</v>
      </c>
    </row>
    <row r="94" spans="1:3" x14ac:dyDescent="0.25">
      <c r="A94" s="1" t="s">
        <v>14</v>
      </c>
      <c r="B94" s="1" t="str">
        <f t="shared" si="5"/>
        <v>Real Estate, Rental &amp; Leasing</v>
      </c>
      <c r="C94" s="1">
        <v>14</v>
      </c>
    </row>
    <row r="95" spans="1:3" x14ac:dyDescent="0.25">
      <c r="A95" s="1" t="s">
        <v>9</v>
      </c>
      <c r="B95" s="1" t="str">
        <f t="shared" si="5"/>
        <v>Management of Companies &amp; Support Services</v>
      </c>
      <c r="C95" s="1">
        <v>13</v>
      </c>
    </row>
    <row r="96" spans="1:3" x14ac:dyDescent="0.25">
      <c r="A96" s="1" t="s">
        <v>10</v>
      </c>
      <c r="B96" s="1" t="str">
        <f t="shared" si="5"/>
        <v>Public Administration</v>
      </c>
      <c r="C96" s="1">
        <v>12</v>
      </c>
    </row>
    <row r="97" spans="1:3" x14ac:dyDescent="0.25">
      <c r="A97" s="1" t="s">
        <v>8</v>
      </c>
      <c r="B97" s="1" t="str">
        <f t="shared" si="5"/>
        <v>Retail Trade</v>
      </c>
      <c r="C97" s="1">
        <v>11</v>
      </c>
    </row>
    <row r="98" spans="1:3" x14ac:dyDescent="0.25">
      <c r="A98" s="1" t="s">
        <v>5</v>
      </c>
      <c r="B98" s="1" t="str">
        <f t="shared" si="5"/>
        <v>Transportation &amp; Warehousing</v>
      </c>
      <c r="C98" s="1">
        <v>10</v>
      </c>
    </row>
    <row r="99" spans="1:3" x14ac:dyDescent="0.25">
      <c r="A99" s="1" t="s">
        <v>11</v>
      </c>
      <c r="B99" s="1" t="str">
        <f t="shared" si="5"/>
        <v>Finance &amp; Insurance</v>
      </c>
      <c r="C99" s="1">
        <v>9</v>
      </c>
    </row>
    <row r="100" spans="1:3" x14ac:dyDescent="0.25">
      <c r="A100" s="1" t="s">
        <v>22</v>
      </c>
      <c r="B100" s="1" t="str">
        <f t="shared" si="5"/>
        <v>Other Services</v>
      </c>
      <c r="C100" s="1">
        <v>8</v>
      </c>
    </row>
    <row r="101" spans="1:3" x14ac:dyDescent="0.25">
      <c r="A101" s="1" t="s">
        <v>4</v>
      </c>
      <c r="B101" s="1" t="str">
        <f t="shared" si="5"/>
        <v>Accommodation &amp; Food Services</v>
      </c>
      <c r="C101" s="1">
        <v>7</v>
      </c>
    </row>
    <row r="102" spans="1:3" x14ac:dyDescent="0.25">
      <c r="A102" s="1" t="s">
        <v>13</v>
      </c>
      <c r="B102" s="1" t="str">
        <f t="shared" si="5"/>
        <v>Agriculture, Forestry, Fishing &amp; Hunting</v>
      </c>
      <c r="C102" s="1">
        <v>6</v>
      </c>
    </row>
    <row r="103" spans="1:3" x14ac:dyDescent="0.25">
      <c r="A103" s="1" t="s">
        <v>2</v>
      </c>
      <c r="B103" s="1" t="str">
        <f t="shared" si="5"/>
        <v>Health Care &amp; Social Assistance</v>
      </c>
      <c r="C103" s="1">
        <v>5</v>
      </c>
    </row>
    <row r="104" spans="1:3" x14ac:dyDescent="0.25">
      <c r="A104" s="1" t="s">
        <v>42</v>
      </c>
      <c r="B104" s="1" t="str">
        <f t="shared" si="5"/>
        <v>Arts, Entertainment &amp; Recreation</v>
      </c>
      <c r="C104" s="1">
        <v>4</v>
      </c>
    </row>
    <row r="105" spans="1:3" x14ac:dyDescent="0.25">
      <c r="A105" s="1" t="s">
        <v>32</v>
      </c>
      <c r="B105" s="1" t="str">
        <f t="shared" si="5"/>
        <v>Professional, Scientific &amp; Technical Services</v>
      </c>
      <c r="C105" s="1">
        <v>3</v>
      </c>
    </row>
    <row r="106" spans="1:3" x14ac:dyDescent="0.25">
      <c r="A106" s="1" t="s">
        <v>12</v>
      </c>
      <c r="B106" s="1" t="str">
        <f t="shared" si="5"/>
        <v>Educational Services</v>
      </c>
      <c r="C106" s="1">
        <v>2</v>
      </c>
    </row>
    <row r="107" spans="1:3" x14ac:dyDescent="0.25">
      <c r="A107" s="1" t="s">
        <v>28</v>
      </c>
      <c r="B107" s="1" t="str">
        <f t="shared" si="5"/>
        <v>Information</v>
      </c>
      <c r="C107" s="1">
        <v>1</v>
      </c>
    </row>
    <row r="109" spans="1:3" x14ac:dyDescent="0.25">
      <c r="A109" s="39" t="s">
        <v>3818</v>
      </c>
      <c r="B109" s="39"/>
      <c r="C109" s="39"/>
    </row>
    <row r="110" spans="1:3" x14ac:dyDescent="0.25">
      <c r="A110" s="2" t="s">
        <v>1</v>
      </c>
      <c r="B110" s="1" t="str">
        <f t="shared" ref="B110:B127" si="6">TRIM(A110)</f>
        <v>Arts, Entertainment &amp; Recreation</v>
      </c>
      <c r="C110" s="2">
        <v>17</v>
      </c>
    </row>
    <row r="111" spans="1:3" x14ac:dyDescent="0.25">
      <c r="A111" s="2" t="s">
        <v>33</v>
      </c>
      <c r="B111" s="1" t="str">
        <f t="shared" si="6"/>
        <v>Mining</v>
      </c>
      <c r="C111" s="2">
        <v>16</v>
      </c>
    </row>
    <row r="112" spans="1:3" x14ac:dyDescent="0.25">
      <c r="A112" s="2" t="s">
        <v>9</v>
      </c>
      <c r="B112" s="1" t="str">
        <f t="shared" si="6"/>
        <v>Management of Companies &amp; Support Services</v>
      </c>
      <c r="C112" s="2">
        <v>15</v>
      </c>
    </row>
    <row r="113" spans="1:3" x14ac:dyDescent="0.25">
      <c r="A113" s="2" t="s">
        <v>4</v>
      </c>
      <c r="B113" s="1" t="str">
        <f t="shared" si="6"/>
        <v>Accommodation &amp; Food Services</v>
      </c>
      <c r="C113" s="2">
        <v>14</v>
      </c>
    </row>
    <row r="114" spans="1:3" x14ac:dyDescent="0.25">
      <c r="A114" s="2" t="s">
        <v>6</v>
      </c>
      <c r="B114" s="1" t="str">
        <f t="shared" si="6"/>
        <v>Wholesale Trade</v>
      </c>
      <c r="C114" s="2">
        <v>13</v>
      </c>
    </row>
    <row r="115" spans="1:3" x14ac:dyDescent="0.25">
      <c r="A115" s="2" t="s">
        <v>13</v>
      </c>
      <c r="B115" s="1" t="str">
        <f t="shared" si="6"/>
        <v>Agriculture, Forestry, Fishing &amp; Hunting</v>
      </c>
      <c r="C115" s="2">
        <v>12</v>
      </c>
    </row>
    <row r="116" spans="1:3" x14ac:dyDescent="0.25">
      <c r="A116" s="2" t="s">
        <v>14</v>
      </c>
      <c r="B116" s="1" t="str">
        <f t="shared" si="6"/>
        <v>Real Estate, Rental &amp; Leasing</v>
      </c>
      <c r="C116" s="2">
        <v>11</v>
      </c>
    </row>
    <row r="117" spans="1:3" x14ac:dyDescent="0.25">
      <c r="A117" s="2" t="s">
        <v>3</v>
      </c>
      <c r="B117" s="1" t="str">
        <f t="shared" si="6"/>
        <v>Utilities</v>
      </c>
      <c r="C117" s="2">
        <v>10</v>
      </c>
    </row>
    <row r="118" spans="1:3" x14ac:dyDescent="0.25">
      <c r="A118" s="2" t="s">
        <v>11</v>
      </c>
      <c r="B118" s="1" t="str">
        <f t="shared" si="6"/>
        <v>Finance &amp; Insurance</v>
      </c>
      <c r="C118" s="2">
        <v>9</v>
      </c>
    </row>
    <row r="119" spans="1:3" x14ac:dyDescent="0.25">
      <c r="A119" s="2" t="s">
        <v>10</v>
      </c>
      <c r="B119" s="1" t="str">
        <f t="shared" si="6"/>
        <v>Public Administration</v>
      </c>
      <c r="C119" s="2">
        <v>8</v>
      </c>
    </row>
    <row r="120" spans="1:3" x14ac:dyDescent="0.25">
      <c r="A120" s="2" t="s">
        <v>5</v>
      </c>
      <c r="B120" s="1" t="str">
        <f t="shared" si="6"/>
        <v>Transportation &amp; Warehousing</v>
      </c>
      <c r="C120" s="2">
        <v>7</v>
      </c>
    </row>
    <row r="121" spans="1:3" x14ac:dyDescent="0.25">
      <c r="A121" s="2" t="s">
        <v>2</v>
      </c>
      <c r="B121" s="1" t="str">
        <f t="shared" si="6"/>
        <v>Health Care &amp; Social Assistance</v>
      </c>
      <c r="C121" s="2">
        <v>6</v>
      </c>
    </row>
    <row r="122" spans="1:3" x14ac:dyDescent="0.25">
      <c r="A122" s="2" t="s">
        <v>7</v>
      </c>
      <c r="B122" s="1" t="str">
        <f t="shared" si="6"/>
        <v>Construction</v>
      </c>
      <c r="C122" s="2">
        <v>5</v>
      </c>
    </row>
    <row r="123" spans="1:3" x14ac:dyDescent="0.25">
      <c r="A123" s="2" t="s">
        <v>17</v>
      </c>
      <c r="B123" s="1" t="str">
        <f t="shared" si="6"/>
        <v>Information</v>
      </c>
      <c r="C123" s="2">
        <v>4</v>
      </c>
    </row>
    <row r="124" spans="1:3" x14ac:dyDescent="0.25">
      <c r="A124" s="2" t="s">
        <v>8</v>
      </c>
      <c r="B124" s="1" t="str">
        <f t="shared" si="6"/>
        <v>Retail Trade</v>
      </c>
      <c r="C124" s="2">
        <v>3</v>
      </c>
    </row>
    <row r="125" spans="1:3" x14ac:dyDescent="0.25">
      <c r="A125" s="2" t="s">
        <v>12</v>
      </c>
      <c r="B125" s="1" t="str">
        <f t="shared" si="6"/>
        <v>Educational Services</v>
      </c>
      <c r="C125" s="2">
        <v>2</v>
      </c>
    </row>
    <row r="126" spans="1:3" x14ac:dyDescent="0.25">
      <c r="A126" s="2" t="s">
        <v>15</v>
      </c>
      <c r="B126" s="1" t="str">
        <f t="shared" si="6"/>
        <v>Professional, Scientific &amp; Technical Services</v>
      </c>
      <c r="C126" s="2">
        <v>1</v>
      </c>
    </row>
    <row r="127" spans="1:3" x14ac:dyDescent="0.25">
      <c r="A127" s="2" t="s">
        <v>18</v>
      </c>
      <c r="B127" s="1" t="str">
        <f t="shared" si="6"/>
        <v>Other Services</v>
      </c>
      <c r="C127" s="2">
        <v>-1</v>
      </c>
    </row>
  </sheetData>
  <mergeCells count="7">
    <mergeCell ref="A109:C109"/>
    <mergeCell ref="A89:C89"/>
    <mergeCell ref="A1:C1"/>
    <mergeCell ref="A21:C21"/>
    <mergeCell ref="A40:C40"/>
    <mergeCell ref="A55:C55"/>
    <mergeCell ref="A73:C73"/>
  </mergeCells>
  <pageMargins left="0.7" right="0.7" top="0.75" bottom="0.75" header="0.51180555555555496" footer="0.51180555555555496"/>
  <pageSetup paperSize="9" firstPageNumber="0" orientation="portrait" horizontalDpi="300" verticalDpi="30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G130"/>
  <sheetViews>
    <sheetView zoomScaleNormal="100" workbookViewId="0">
      <selection activeCell="J14" sqref="J14"/>
    </sheetView>
  </sheetViews>
  <sheetFormatPr defaultRowHeight="15" x14ac:dyDescent="0.25"/>
  <cols>
    <col min="1" max="1" width="43.85546875" customWidth="1"/>
    <col min="2" max="2" width="43.42578125" customWidth="1"/>
    <col min="3" max="5" width="8.7109375" customWidth="1"/>
    <col min="6" max="6" width="40.42578125" bestFit="1" customWidth="1"/>
    <col min="7" max="7" width="8.7109375" customWidth="1"/>
    <col min="9" max="1025" width="8.7109375" customWidth="1"/>
  </cols>
  <sheetData>
    <row r="1" spans="1:7" x14ac:dyDescent="0.25">
      <c r="A1" s="39" t="s">
        <v>0</v>
      </c>
      <c r="B1" s="39"/>
      <c r="C1" s="39"/>
    </row>
    <row r="2" spans="1:7" x14ac:dyDescent="0.25">
      <c r="A2" s="1" t="s">
        <v>1</v>
      </c>
      <c r="B2" s="1" t="str">
        <f t="shared" ref="B2:B19" si="0">TRIM(A2)</f>
        <v>Arts, Entertainment &amp; Recreation</v>
      </c>
      <c r="C2" s="1">
        <v>17</v>
      </c>
      <c r="F2" t="s">
        <v>31</v>
      </c>
      <c r="G2" t="s">
        <v>3949</v>
      </c>
    </row>
    <row r="3" spans="1:7" x14ac:dyDescent="0.25">
      <c r="A3" s="1" t="s">
        <v>6</v>
      </c>
      <c r="B3" s="1" t="str">
        <f t="shared" si="0"/>
        <v>Wholesale Trade</v>
      </c>
      <c r="C3" s="1">
        <v>16</v>
      </c>
      <c r="F3" t="s">
        <v>35</v>
      </c>
      <c r="G3" t="s">
        <v>3950</v>
      </c>
    </row>
    <row r="4" spans="1:7" x14ac:dyDescent="0.25">
      <c r="A4" s="1" t="s">
        <v>9</v>
      </c>
      <c r="B4" s="1" t="str">
        <f t="shared" si="0"/>
        <v>Management of Companies &amp; Support Services</v>
      </c>
      <c r="C4" s="1">
        <v>15</v>
      </c>
      <c r="F4" t="s">
        <v>20</v>
      </c>
      <c r="G4" t="s">
        <v>3951</v>
      </c>
    </row>
    <row r="5" spans="1:7" x14ac:dyDescent="0.25">
      <c r="A5" s="1" t="s">
        <v>7</v>
      </c>
      <c r="B5" s="1" t="str">
        <f t="shared" si="0"/>
        <v>Construction</v>
      </c>
      <c r="C5" s="1">
        <v>14</v>
      </c>
      <c r="F5" t="s">
        <v>27</v>
      </c>
      <c r="G5" t="s">
        <v>3952</v>
      </c>
    </row>
    <row r="6" spans="1:7" x14ac:dyDescent="0.25">
      <c r="A6" s="1" t="s">
        <v>14</v>
      </c>
      <c r="B6" s="1" t="str">
        <f t="shared" si="0"/>
        <v>Real Estate, Rental &amp; Leasing</v>
      </c>
      <c r="C6" s="1">
        <v>13</v>
      </c>
      <c r="F6" t="s">
        <v>23</v>
      </c>
      <c r="G6" t="s">
        <v>3953</v>
      </c>
    </row>
    <row r="7" spans="1:7" x14ac:dyDescent="0.25">
      <c r="A7" s="1" t="s">
        <v>3</v>
      </c>
      <c r="B7" s="1" t="str">
        <f t="shared" si="0"/>
        <v>Utilities</v>
      </c>
      <c r="C7" s="1">
        <v>12</v>
      </c>
      <c r="F7" t="s">
        <v>43</v>
      </c>
      <c r="G7" t="s">
        <v>3954</v>
      </c>
    </row>
    <row r="8" spans="1:7" x14ac:dyDescent="0.25">
      <c r="A8" s="1" t="s">
        <v>10</v>
      </c>
      <c r="B8" s="1" t="str">
        <f t="shared" si="0"/>
        <v>Public Administration</v>
      </c>
      <c r="C8" s="1">
        <v>11</v>
      </c>
      <c r="F8" t="s">
        <v>28</v>
      </c>
      <c r="G8" t="s">
        <v>3955</v>
      </c>
    </row>
    <row r="9" spans="1:7" x14ac:dyDescent="0.25">
      <c r="A9" s="1" t="s">
        <v>5</v>
      </c>
      <c r="B9" s="1" t="str">
        <f t="shared" si="0"/>
        <v>Transportation &amp; Warehousing</v>
      </c>
      <c r="C9" s="1">
        <v>10</v>
      </c>
      <c r="F9" t="s">
        <v>15</v>
      </c>
      <c r="G9" t="s">
        <v>3956</v>
      </c>
    </row>
    <row r="10" spans="1:7" x14ac:dyDescent="0.25">
      <c r="A10" s="1" t="s">
        <v>8</v>
      </c>
      <c r="B10" s="1" t="str">
        <f t="shared" si="0"/>
        <v>Retail Trade</v>
      </c>
      <c r="C10" s="1">
        <v>9</v>
      </c>
      <c r="F10" t="s">
        <v>34</v>
      </c>
      <c r="G10" t="s">
        <v>3957</v>
      </c>
    </row>
    <row r="11" spans="1:7" x14ac:dyDescent="0.25">
      <c r="A11" s="1" t="s">
        <v>22</v>
      </c>
      <c r="B11" s="1" t="str">
        <f t="shared" si="0"/>
        <v>Other Services</v>
      </c>
      <c r="C11" s="1">
        <v>8</v>
      </c>
      <c r="F11" t="s">
        <v>29</v>
      </c>
      <c r="G11" t="s">
        <v>3958</v>
      </c>
    </row>
    <row r="12" spans="1:7" x14ac:dyDescent="0.25">
      <c r="A12" s="1" t="s">
        <v>11</v>
      </c>
      <c r="B12" s="1" t="str">
        <f t="shared" si="0"/>
        <v>Finance &amp; Insurance</v>
      </c>
      <c r="C12" s="1">
        <v>7</v>
      </c>
      <c r="F12" t="s">
        <v>40</v>
      </c>
      <c r="G12" t="s">
        <v>3959</v>
      </c>
    </row>
    <row r="13" spans="1:7" x14ac:dyDescent="0.25">
      <c r="A13" s="1" t="s">
        <v>33</v>
      </c>
      <c r="B13" s="1" t="str">
        <f t="shared" si="0"/>
        <v>Mining</v>
      </c>
      <c r="C13" s="1">
        <v>6</v>
      </c>
      <c r="F13" t="s">
        <v>36</v>
      </c>
      <c r="G13" t="s">
        <v>3960</v>
      </c>
    </row>
    <row r="14" spans="1:7" x14ac:dyDescent="0.25">
      <c r="A14" s="1" t="s">
        <v>2</v>
      </c>
      <c r="B14" s="1" t="str">
        <f t="shared" si="0"/>
        <v>Health Care &amp; Social Assistance</v>
      </c>
      <c r="C14" s="1">
        <v>5</v>
      </c>
    </row>
    <row r="15" spans="1:7" x14ac:dyDescent="0.25">
      <c r="A15" s="1" t="s">
        <v>32</v>
      </c>
      <c r="B15" s="1" t="str">
        <f t="shared" si="0"/>
        <v>Professional, Scientific &amp; Technical Services</v>
      </c>
      <c r="C15" s="1">
        <v>4</v>
      </c>
    </row>
    <row r="16" spans="1:7" x14ac:dyDescent="0.25">
      <c r="A16" s="1" t="s">
        <v>12</v>
      </c>
      <c r="B16" s="1" t="str">
        <f t="shared" si="0"/>
        <v>Educational Services</v>
      </c>
      <c r="C16" s="1">
        <v>3</v>
      </c>
    </row>
    <row r="17" spans="1:3" x14ac:dyDescent="0.25">
      <c r="A17" s="1" t="s">
        <v>17</v>
      </c>
      <c r="B17" s="1" t="str">
        <f t="shared" si="0"/>
        <v>Information</v>
      </c>
      <c r="C17" s="1">
        <v>2</v>
      </c>
    </row>
    <row r="18" spans="1:3" x14ac:dyDescent="0.25">
      <c r="A18" s="1" t="s">
        <v>31</v>
      </c>
      <c r="B18" s="1" t="str">
        <f t="shared" si="0"/>
        <v>Accommodation &amp; Food Services</v>
      </c>
      <c r="C18" s="1">
        <v>1</v>
      </c>
    </row>
    <row r="19" spans="1:3" x14ac:dyDescent="0.25">
      <c r="A19" s="1" t="s">
        <v>35</v>
      </c>
      <c r="B19" s="1" t="str">
        <f t="shared" si="0"/>
        <v>Agriculture, Forestry, Fishing &amp; Hunting</v>
      </c>
      <c r="C19" s="1">
        <v>-1</v>
      </c>
    </row>
    <row r="21" spans="1:3" x14ac:dyDescent="0.25">
      <c r="A21" s="39" t="s">
        <v>19</v>
      </c>
      <c r="B21" s="39"/>
      <c r="C21" s="39"/>
    </row>
    <row r="22" spans="1:3" x14ac:dyDescent="0.25">
      <c r="A22" s="1" t="s">
        <v>1</v>
      </c>
      <c r="B22" s="1" t="str">
        <f t="shared" ref="B22:B39" si="1">TRIM(A22)</f>
        <v>Arts, Entertainment &amp; Recreation</v>
      </c>
      <c r="C22" s="1">
        <v>17</v>
      </c>
    </row>
    <row r="23" spans="1:3" x14ac:dyDescent="0.25">
      <c r="A23" s="1" t="s">
        <v>6</v>
      </c>
      <c r="B23" s="1" t="str">
        <f t="shared" si="1"/>
        <v>Wholesale Trade</v>
      </c>
      <c r="C23" s="1">
        <v>16</v>
      </c>
    </row>
    <row r="24" spans="1:3" x14ac:dyDescent="0.25">
      <c r="A24" s="1" t="s">
        <v>9</v>
      </c>
      <c r="B24" s="1" t="str">
        <f t="shared" si="1"/>
        <v>Management of Companies &amp; Support Services</v>
      </c>
      <c r="C24" s="1">
        <v>15</v>
      </c>
    </row>
    <row r="25" spans="1:3" x14ac:dyDescent="0.25">
      <c r="A25" s="1" t="s">
        <v>22</v>
      </c>
      <c r="B25" s="1" t="str">
        <f t="shared" si="1"/>
        <v>Other Services</v>
      </c>
      <c r="C25" s="1">
        <v>14</v>
      </c>
    </row>
    <row r="26" spans="1:3" x14ac:dyDescent="0.25">
      <c r="A26" s="1" t="s">
        <v>3</v>
      </c>
      <c r="B26" s="1" t="str">
        <f t="shared" si="1"/>
        <v>Utilities</v>
      </c>
      <c r="C26" s="1">
        <v>13</v>
      </c>
    </row>
    <row r="27" spans="1:3" x14ac:dyDescent="0.25">
      <c r="A27" s="1" t="s">
        <v>8</v>
      </c>
      <c r="B27" s="1" t="str">
        <f t="shared" si="1"/>
        <v>Retail Trade</v>
      </c>
      <c r="C27" s="1">
        <v>12</v>
      </c>
    </row>
    <row r="28" spans="1:3" x14ac:dyDescent="0.25">
      <c r="A28" s="1" t="s">
        <v>10</v>
      </c>
      <c r="B28" s="1" t="str">
        <f t="shared" si="1"/>
        <v>Public Administration</v>
      </c>
      <c r="C28" s="1">
        <v>11</v>
      </c>
    </row>
    <row r="29" spans="1:3" x14ac:dyDescent="0.25">
      <c r="A29" s="1" t="s">
        <v>14</v>
      </c>
      <c r="B29" s="1" t="str">
        <f t="shared" si="1"/>
        <v>Real Estate, Rental &amp; Leasing</v>
      </c>
      <c r="C29" s="1">
        <v>10</v>
      </c>
    </row>
    <row r="30" spans="1:3" x14ac:dyDescent="0.25">
      <c r="A30" s="1" t="s">
        <v>5</v>
      </c>
      <c r="B30" s="1" t="str">
        <f t="shared" si="1"/>
        <v>Transportation &amp; Warehousing</v>
      </c>
      <c r="C30" s="1">
        <v>9</v>
      </c>
    </row>
    <row r="31" spans="1:3" x14ac:dyDescent="0.25">
      <c r="A31" s="1" t="s">
        <v>33</v>
      </c>
      <c r="B31" s="1" t="str">
        <f t="shared" si="1"/>
        <v>Mining</v>
      </c>
      <c r="C31" s="1">
        <v>8</v>
      </c>
    </row>
    <row r="32" spans="1:3" x14ac:dyDescent="0.25">
      <c r="A32" s="1" t="s">
        <v>7</v>
      </c>
      <c r="B32" s="1" t="str">
        <f t="shared" si="1"/>
        <v>Construction</v>
      </c>
      <c r="C32" s="1">
        <v>7</v>
      </c>
    </row>
    <row r="33" spans="1:3" x14ac:dyDescent="0.25">
      <c r="A33" s="1" t="s">
        <v>12</v>
      </c>
      <c r="B33" s="1" t="str">
        <f t="shared" si="1"/>
        <v>Educational Services</v>
      </c>
      <c r="C33" s="1">
        <v>6</v>
      </c>
    </row>
    <row r="34" spans="1:3" x14ac:dyDescent="0.25">
      <c r="A34" s="1" t="s">
        <v>2</v>
      </c>
      <c r="B34" s="1" t="str">
        <f t="shared" si="1"/>
        <v>Health Care &amp; Social Assistance</v>
      </c>
      <c r="C34" s="1">
        <v>5</v>
      </c>
    </row>
    <row r="35" spans="1:3" x14ac:dyDescent="0.25">
      <c r="A35" s="1" t="s">
        <v>11</v>
      </c>
      <c r="B35" s="1" t="str">
        <f t="shared" si="1"/>
        <v>Finance &amp; Insurance</v>
      </c>
      <c r="C35" s="1">
        <v>4</v>
      </c>
    </row>
    <row r="36" spans="1:3" x14ac:dyDescent="0.25">
      <c r="A36" s="1" t="s">
        <v>32</v>
      </c>
      <c r="B36" s="1" t="str">
        <f t="shared" si="1"/>
        <v>Professional, Scientific &amp; Technical Services</v>
      </c>
      <c r="C36" s="1">
        <v>3</v>
      </c>
    </row>
    <row r="37" spans="1:3" x14ac:dyDescent="0.25">
      <c r="A37" s="1" t="s">
        <v>17</v>
      </c>
      <c r="B37" s="1" t="str">
        <f t="shared" si="1"/>
        <v>Information</v>
      </c>
      <c r="C37" s="1">
        <v>2</v>
      </c>
    </row>
    <row r="38" spans="1:3" x14ac:dyDescent="0.25">
      <c r="A38" s="1" t="s">
        <v>31</v>
      </c>
      <c r="B38" s="1" t="str">
        <f t="shared" si="1"/>
        <v>Accommodation &amp; Food Services</v>
      </c>
      <c r="C38" s="1">
        <v>1</v>
      </c>
    </row>
    <row r="39" spans="1:3" x14ac:dyDescent="0.25">
      <c r="A39" s="1" t="s">
        <v>35</v>
      </c>
      <c r="B39" s="1" t="str">
        <f t="shared" si="1"/>
        <v>Agriculture, Forestry, Fishing &amp; Hunting</v>
      </c>
      <c r="C39" s="1">
        <v>-1</v>
      </c>
    </row>
    <row r="41" spans="1:3" x14ac:dyDescent="0.25">
      <c r="A41" s="39" t="s">
        <v>21</v>
      </c>
      <c r="B41" s="39"/>
      <c r="C41" s="39"/>
    </row>
    <row r="42" spans="1:3" x14ac:dyDescent="0.25">
      <c r="A42" s="1" t="s">
        <v>1</v>
      </c>
      <c r="B42" s="1" t="str">
        <f t="shared" ref="B42:B56" si="2">TRIM(A42)</f>
        <v>Arts, Entertainment &amp; Recreation</v>
      </c>
      <c r="C42" s="1">
        <v>11</v>
      </c>
    </row>
    <row r="43" spans="1:3" x14ac:dyDescent="0.25">
      <c r="A43" s="1" t="s">
        <v>14</v>
      </c>
      <c r="B43" s="1" t="str">
        <f t="shared" si="2"/>
        <v>Real Estate, Rental &amp; Leasing</v>
      </c>
      <c r="C43" s="1">
        <v>10</v>
      </c>
    </row>
    <row r="44" spans="1:3" x14ac:dyDescent="0.25">
      <c r="A44" s="1" t="s">
        <v>6</v>
      </c>
      <c r="B44" s="1" t="str">
        <f t="shared" si="2"/>
        <v>Wholesale Trade</v>
      </c>
      <c r="C44" s="1">
        <v>9</v>
      </c>
    </row>
    <row r="45" spans="1:3" x14ac:dyDescent="0.25">
      <c r="A45" s="1" t="s">
        <v>7</v>
      </c>
      <c r="B45" s="1" t="str">
        <f t="shared" si="2"/>
        <v>Construction</v>
      </c>
      <c r="C45" s="1">
        <v>8</v>
      </c>
    </row>
    <row r="46" spans="1:3" x14ac:dyDescent="0.25">
      <c r="A46" s="1" t="s">
        <v>11</v>
      </c>
      <c r="B46" s="1" t="str">
        <f t="shared" si="2"/>
        <v>Finance &amp; Insurance</v>
      </c>
      <c r="C46" s="1">
        <v>7</v>
      </c>
    </row>
    <row r="47" spans="1:3" x14ac:dyDescent="0.25">
      <c r="A47" s="1" t="s">
        <v>5</v>
      </c>
      <c r="B47" s="1" t="str">
        <f t="shared" si="2"/>
        <v>Transportation &amp; Warehousing</v>
      </c>
      <c r="C47" s="1">
        <v>6</v>
      </c>
    </row>
    <row r="48" spans="1:3" x14ac:dyDescent="0.25">
      <c r="A48" s="1" t="s">
        <v>3</v>
      </c>
      <c r="B48" s="1" t="str">
        <f t="shared" si="2"/>
        <v>Utilities</v>
      </c>
      <c r="C48" s="1">
        <v>5</v>
      </c>
    </row>
    <row r="49" spans="1:3" x14ac:dyDescent="0.25">
      <c r="A49" s="1" t="s">
        <v>10</v>
      </c>
      <c r="B49" s="1" t="str">
        <f t="shared" si="2"/>
        <v>Public Administration</v>
      </c>
      <c r="C49" s="1">
        <v>4</v>
      </c>
    </row>
    <row r="50" spans="1:3" x14ac:dyDescent="0.25">
      <c r="A50" s="1" t="s">
        <v>9</v>
      </c>
      <c r="B50" s="1" t="str">
        <f t="shared" si="2"/>
        <v>Management of Companies &amp; Support Services</v>
      </c>
      <c r="C50" s="1">
        <v>3</v>
      </c>
    </row>
    <row r="51" spans="1:3" x14ac:dyDescent="0.25">
      <c r="A51" s="1" t="s">
        <v>32</v>
      </c>
      <c r="B51" s="1" t="str">
        <f t="shared" si="2"/>
        <v>Professional, Scientific &amp; Technical Services</v>
      </c>
      <c r="C51" s="1">
        <v>2</v>
      </c>
    </row>
    <row r="52" spans="1:3" x14ac:dyDescent="0.25">
      <c r="A52" s="1" t="s">
        <v>43</v>
      </c>
      <c r="B52" s="1" t="str">
        <f t="shared" si="2"/>
        <v>Health Care &amp; Social Assistance</v>
      </c>
      <c r="C52" s="1">
        <v>1</v>
      </c>
    </row>
    <row r="53" spans="1:3" x14ac:dyDescent="0.25">
      <c r="A53" s="1" t="s">
        <v>35</v>
      </c>
      <c r="B53" s="1" t="str">
        <f t="shared" si="2"/>
        <v>Agriculture, Forestry, Fishing &amp; Hunting</v>
      </c>
      <c r="C53" s="1">
        <v>-4</v>
      </c>
    </row>
    <row r="54" spans="1:3" x14ac:dyDescent="0.25">
      <c r="A54" s="1" t="s">
        <v>4</v>
      </c>
      <c r="B54" s="1" t="str">
        <f t="shared" si="2"/>
        <v>Accommodation &amp; Food Services</v>
      </c>
      <c r="C54" s="1">
        <v>-3</v>
      </c>
    </row>
    <row r="55" spans="1:3" x14ac:dyDescent="0.25">
      <c r="A55" s="1" t="s">
        <v>17</v>
      </c>
      <c r="B55" s="1" t="str">
        <f t="shared" si="2"/>
        <v>Information</v>
      </c>
      <c r="C55" s="1">
        <v>-2</v>
      </c>
    </row>
    <row r="56" spans="1:3" x14ac:dyDescent="0.25">
      <c r="A56" s="1" t="s">
        <v>27</v>
      </c>
      <c r="B56" s="1" t="str">
        <f t="shared" si="2"/>
        <v>Educational Services</v>
      </c>
      <c r="C56" s="1">
        <v>-1</v>
      </c>
    </row>
    <row r="58" spans="1:3" x14ac:dyDescent="0.25">
      <c r="A58" s="39" t="s">
        <v>24</v>
      </c>
      <c r="B58" s="39"/>
      <c r="C58" s="39"/>
    </row>
    <row r="59" spans="1:3" x14ac:dyDescent="0.25">
      <c r="A59" s="1" t="s">
        <v>41</v>
      </c>
      <c r="B59" s="1" t="str">
        <f t="shared" ref="B59:B75" si="3">TRIM(A59)</f>
        <v>Management of Companies &amp; Support Services</v>
      </c>
      <c r="C59" s="1">
        <v>-17</v>
      </c>
    </row>
    <row r="60" spans="1:3" x14ac:dyDescent="0.25">
      <c r="A60" s="1" t="s">
        <v>7</v>
      </c>
      <c r="B60" s="1" t="str">
        <f t="shared" si="3"/>
        <v>Construction</v>
      </c>
      <c r="C60" s="1">
        <v>-16</v>
      </c>
    </row>
    <row r="61" spans="1:3" x14ac:dyDescent="0.25">
      <c r="A61" s="1" t="s">
        <v>6</v>
      </c>
      <c r="B61" s="1" t="str">
        <f t="shared" si="3"/>
        <v>Wholesale Trade</v>
      </c>
      <c r="C61" s="1">
        <v>-15</v>
      </c>
    </row>
    <row r="62" spans="1:3" x14ac:dyDescent="0.25">
      <c r="A62" s="1" t="s">
        <v>5</v>
      </c>
      <c r="B62" s="1" t="str">
        <f t="shared" si="3"/>
        <v>Transportation &amp; Warehousing</v>
      </c>
      <c r="C62" s="1">
        <v>-14</v>
      </c>
    </row>
    <row r="63" spans="1:3" x14ac:dyDescent="0.25">
      <c r="A63" s="1" t="s">
        <v>8</v>
      </c>
      <c r="B63" s="1" t="str">
        <f t="shared" si="3"/>
        <v>Retail Trade</v>
      </c>
      <c r="C63" s="1">
        <v>-13</v>
      </c>
    </row>
    <row r="64" spans="1:3" x14ac:dyDescent="0.25">
      <c r="A64" s="1" t="s">
        <v>22</v>
      </c>
      <c r="B64" s="1" t="str">
        <f t="shared" si="3"/>
        <v>Other Services</v>
      </c>
      <c r="C64" s="1">
        <v>-12</v>
      </c>
    </row>
    <row r="65" spans="1:3" x14ac:dyDescent="0.25">
      <c r="A65" s="1" t="s">
        <v>14</v>
      </c>
      <c r="B65" s="1" t="str">
        <f t="shared" si="3"/>
        <v>Real Estate, Rental &amp; Leasing</v>
      </c>
      <c r="C65" s="1">
        <v>-11</v>
      </c>
    </row>
    <row r="66" spans="1:3" x14ac:dyDescent="0.25">
      <c r="A66" s="1" t="s">
        <v>42</v>
      </c>
      <c r="B66" s="1" t="str">
        <f t="shared" si="3"/>
        <v>Arts, Entertainment &amp; Recreation</v>
      </c>
      <c r="C66" s="1">
        <v>-10</v>
      </c>
    </row>
    <row r="67" spans="1:3" x14ac:dyDescent="0.25">
      <c r="A67" s="1" t="s">
        <v>3</v>
      </c>
      <c r="B67" s="1" t="str">
        <f t="shared" si="3"/>
        <v>Utilities</v>
      </c>
      <c r="C67" s="1">
        <v>-9</v>
      </c>
    </row>
    <row r="68" spans="1:3" x14ac:dyDescent="0.25">
      <c r="A68" s="1" t="s">
        <v>17</v>
      </c>
      <c r="B68" s="1" t="str">
        <f t="shared" si="3"/>
        <v>Information</v>
      </c>
      <c r="C68" s="1">
        <v>-8</v>
      </c>
    </row>
    <row r="69" spans="1:3" x14ac:dyDescent="0.25">
      <c r="A69" s="1" t="s">
        <v>11</v>
      </c>
      <c r="B69" s="1" t="str">
        <f t="shared" si="3"/>
        <v>Finance &amp; Insurance</v>
      </c>
      <c r="C69" s="1">
        <v>-7</v>
      </c>
    </row>
    <row r="70" spans="1:3" x14ac:dyDescent="0.25">
      <c r="A70" s="1" t="s">
        <v>33</v>
      </c>
      <c r="B70" s="1" t="str">
        <f t="shared" si="3"/>
        <v>Mining</v>
      </c>
      <c r="C70" s="1">
        <v>-6</v>
      </c>
    </row>
    <row r="71" spans="1:3" x14ac:dyDescent="0.25">
      <c r="A71" s="1" t="s">
        <v>32</v>
      </c>
      <c r="B71" s="1" t="str">
        <f t="shared" si="3"/>
        <v>Professional, Scientific &amp; Technical Services</v>
      </c>
      <c r="C71" s="1">
        <v>-5</v>
      </c>
    </row>
    <row r="72" spans="1:3" x14ac:dyDescent="0.25">
      <c r="A72" s="1" t="s">
        <v>2</v>
      </c>
      <c r="B72" s="1" t="str">
        <f t="shared" si="3"/>
        <v>Health Care &amp; Social Assistance</v>
      </c>
      <c r="C72" s="1">
        <v>-4</v>
      </c>
    </row>
    <row r="73" spans="1:3" x14ac:dyDescent="0.25">
      <c r="A73" s="1" t="s">
        <v>13</v>
      </c>
      <c r="B73" s="1" t="str">
        <f t="shared" si="3"/>
        <v>Agriculture, Forestry, Fishing &amp; Hunting</v>
      </c>
      <c r="C73" s="1">
        <v>-3</v>
      </c>
    </row>
    <row r="74" spans="1:3" x14ac:dyDescent="0.25">
      <c r="A74" s="1" t="s">
        <v>10</v>
      </c>
      <c r="B74" s="1" t="str">
        <f t="shared" si="3"/>
        <v>Public Administration</v>
      </c>
      <c r="C74" s="1">
        <v>-2</v>
      </c>
    </row>
    <row r="75" spans="1:3" x14ac:dyDescent="0.25">
      <c r="A75" s="1" t="s">
        <v>27</v>
      </c>
      <c r="B75" s="1" t="str">
        <f t="shared" si="3"/>
        <v>Educational Services</v>
      </c>
      <c r="C75" s="1">
        <v>-1</v>
      </c>
    </row>
    <row r="77" spans="1:3" x14ac:dyDescent="0.25">
      <c r="A77" s="39" t="s">
        <v>26</v>
      </c>
      <c r="B77" s="39"/>
      <c r="C77" s="39"/>
    </row>
    <row r="78" spans="1:3" x14ac:dyDescent="0.25">
      <c r="A78" s="1" t="s">
        <v>1</v>
      </c>
      <c r="B78" s="1" t="str">
        <f t="shared" ref="B78:B90" si="4">TRIM(A78)</f>
        <v>Arts, Entertainment &amp; Recreation</v>
      </c>
      <c r="C78" s="1">
        <v>8</v>
      </c>
    </row>
    <row r="79" spans="1:3" x14ac:dyDescent="0.25">
      <c r="A79" s="1" t="s">
        <v>33</v>
      </c>
      <c r="B79" s="1" t="str">
        <f t="shared" si="4"/>
        <v>Mining</v>
      </c>
      <c r="C79" s="1">
        <v>7</v>
      </c>
    </row>
    <row r="80" spans="1:3" x14ac:dyDescent="0.25">
      <c r="A80" s="1" t="s">
        <v>12</v>
      </c>
      <c r="B80" s="1" t="str">
        <f t="shared" si="4"/>
        <v>Educational Services</v>
      </c>
      <c r="C80" s="1">
        <v>6</v>
      </c>
    </row>
    <row r="81" spans="1:3" x14ac:dyDescent="0.25">
      <c r="A81" s="1" t="s">
        <v>3</v>
      </c>
      <c r="B81" s="1" t="str">
        <f t="shared" si="4"/>
        <v>Utilities</v>
      </c>
      <c r="C81" s="1">
        <v>5</v>
      </c>
    </row>
    <row r="82" spans="1:3" x14ac:dyDescent="0.25">
      <c r="A82" s="1" t="s">
        <v>9</v>
      </c>
      <c r="B82" s="1" t="str">
        <f t="shared" si="4"/>
        <v>Management of Companies &amp; Support Services</v>
      </c>
      <c r="C82" s="1">
        <v>4</v>
      </c>
    </row>
    <row r="83" spans="1:3" x14ac:dyDescent="0.25">
      <c r="A83" s="1" t="s">
        <v>6</v>
      </c>
      <c r="B83" s="1" t="str">
        <f t="shared" si="4"/>
        <v>Wholesale Trade</v>
      </c>
      <c r="C83" s="1">
        <v>3</v>
      </c>
    </row>
    <row r="84" spans="1:3" x14ac:dyDescent="0.25">
      <c r="A84" s="1" t="s">
        <v>11</v>
      </c>
      <c r="B84" s="1" t="str">
        <f t="shared" si="4"/>
        <v>Finance &amp; Insurance</v>
      </c>
      <c r="C84" s="1">
        <v>2</v>
      </c>
    </row>
    <row r="85" spans="1:3" x14ac:dyDescent="0.25">
      <c r="A85" s="1" t="s">
        <v>34</v>
      </c>
      <c r="B85" s="1" t="str">
        <f t="shared" si="4"/>
        <v>Public Administration</v>
      </c>
      <c r="C85" s="1">
        <v>1</v>
      </c>
    </row>
    <row r="86" spans="1:3" x14ac:dyDescent="0.25">
      <c r="A86" s="1" t="s">
        <v>29</v>
      </c>
      <c r="B86" s="1" t="str">
        <f t="shared" si="4"/>
        <v>Real Estate, Rental &amp; Leasing</v>
      </c>
      <c r="C86" s="1">
        <v>-5</v>
      </c>
    </row>
    <row r="87" spans="1:3" x14ac:dyDescent="0.25">
      <c r="A87" s="1" t="s">
        <v>7</v>
      </c>
      <c r="B87" s="1" t="str">
        <f t="shared" si="4"/>
        <v>Construction</v>
      </c>
      <c r="C87" s="1">
        <v>-4</v>
      </c>
    </row>
    <row r="88" spans="1:3" x14ac:dyDescent="0.25">
      <c r="A88" s="1" t="s">
        <v>2</v>
      </c>
      <c r="B88" s="1" t="str">
        <f t="shared" si="4"/>
        <v>Health Care &amp; Social Assistance</v>
      </c>
      <c r="C88" s="1">
        <v>-3</v>
      </c>
    </row>
    <row r="89" spans="1:3" x14ac:dyDescent="0.25">
      <c r="A89" s="1" t="s">
        <v>4</v>
      </c>
      <c r="B89" s="1" t="str">
        <f t="shared" si="4"/>
        <v>Accommodation &amp; Food Services</v>
      </c>
      <c r="C89" s="1">
        <v>-2</v>
      </c>
    </row>
    <row r="90" spans="1:3" x14ac:dyDescent="0.25">
      <c r="A90" s="1" t="s">
        <v>28</v>
      </c>
      <c r="B90" s="1" t="str">
        <f t="shared" si="4"/>
        <v>Information</v>
      </c>
      <c r="C90" s="1">
        <v>-1</v>
      </c>
    </row>
    <row r="92" spans="1:3" x14ac:dyDescent="0.25">
      <c r="A92" s="39" t="s">
        <v>30</v>
      </c>
      <c r="B92" s="39"/>
      <c r="C92" s="39"/>
    </row>
    <row r="93" spans="1:3" x14ac:dyDescent="0.25">
      <c r="A93" s="1" t="s">
        <v>38</v>
      </c>
      <c r="B93" s="1" t="str">
        <f t="shared" ref="B93:B110" si="5">TRIM(A93)</f>
        <v>Transportation &amp; Warehousing</v>
      </c>
      <c r="C93" s="1">
        <v>18</v>
      </c>
    </row>
    <row r="94" spans="1:3" x14ac:dyDescent="0.25">
      <c r="A94" s="1" t="s">
        <v>7</v>
      </c>
      <c r="B94" s="1" t="str">
        <f t="shared" si="5"/>
        <v>Construction</v>
      </c>
      <c r="C94" s="1">
        <v>17</v>
      </c>
    </row>
    <row r="95" spans="1:3" x14ac:dyDescent="0.25">
      <c r="A95" s="1" t="s">
        <v>9</v>
      </c>
      <c r="B95" s="1" t="str">
        <f t="shared" si="5"/>
        <v>Management of Companies &amp; Support Services</v>
      </c>
      <c r="C95" s="1">
        <v>16</v>
      </c>
    </row>
    <row r="96" spans="1:3" x14ac:dyDescent="0.25">
      <c r="A96" s="1" t="s">
        <v>14</v>
      </c>
      <c r="B96" s="1" t="str">
        <f t="shared" si="5"/>
        <v>Real Estate, Rental &amp; Leasing</v>
      </c>
      <c r="C96" s="1">
        <v>15</v>
      </c>
    </row>
    <row r="97" spans="1:3" x14ac:dyDescent="0.25">
      <c r="A97" s="1" t="s">
        <v>13</v>
      </c>
      <c r="B97" s="1" t="str">
        <f t="shared" si="5"/>
        <v>Agriculture, Forestry, Fishing &amp; Hunting</v>
      </c>
      <c r="C97" s="1">
        <v>14</v>
      </c>
    </row>
    <row r="98" spans="1:3" x14ac:dyDescent="0.25">
      <c r="A98" s="1" t="s">
        <v>3</v>
      </c>
      <c r="B98" s="1" t="str">
        <f t="shared" si="5"/>
        <v>Utilities</v>
      </c>
      <c r="C98" s="1">
        <v>13</v>
      </c>
    </row>
    <row r="99" spans="1:3" x14ac:dyDescent="0.25">
      <c r="A99" s="1" t="s">
        <v>6</v>
      </c>
      <c r="B99" s="1" t="str">
        <f t="shared" si="5"/>
        <v>Wholesale Trade</v>
      </c>
      <c r="C99" s="1">
        <v>12</v>
      </c>
    </row>
    <row r="100" spans="1:3" x14ac:dyDescent="0.25">
      <c r="A100" s="1" t="s">
        <v>8</v>
      </c>
      <c r="B100" s="1" t="str">
        <f t="shared" si="5"/>
        <v>Retail Trade</v>
      </c>
      <c r="C100" s="1">
        <v>11</v>
      </c>
    </row>
    <row r="101" spans="1:3" x14ac:dyDescent="0.25">
      <c r="A101" s="1" t="s">
        <v>33</v>
      </c>
      <c r="B101" s="1" t="str">
        <f t="shared" si="5"/>
        <v>Mining</v>
      </c>
      <c r="C101" s="1">
        <v>10</v>
      </c>
    </row>
    <row r="102" spans="1:3" x14ac:dyDescent="0.25">
      <c r="A102" s="1" t="s">
        <v>42</v>
      </c>
      <c r="B102" s="1" t="str">
        <f t="shared" si="5"/>
        <v>Arts, Entertainment &amp; Recreation</v>
      </c>
      <c r="C102" s="1">
        <v>9</v>
      </c>
    </row>
    <row r="103" spans="1:3" x14ac:dyDescent="0.25">
      <c r="A103" s="1" t="s">
        <v>4</v>
      </c>
      <c r="B103" s="1" t="str">
        <f t="shared" si="5"/>
        <v>Accommodation &amp; Food Services</v>
      </c>
      <c r="C103" s="1">
        <v>8</v>
      </c>
    </row>
    <row r="104" spans="1:3" x14ac:dyDescent="0.25">
      <c r="A104" s="1" t="s">
        <v>10</v>
      </c>
      <c r="B104" s="1" t="str">
        <f t="shared" si="5"/>
        <v>Public Administration</v>
      </c>
      <c r="C104" s="1">
        <v>7</v>
      </c>
    </row>
    <row r="105" spans="1:3" x14ac:dyDescent="0.25">
      <c r="A105" s="1" t="s">
        <v>32</v>
      </c>
      <c r="B105" s="1" t="str">
        <f t="shared" si="5"/>
        <v>Professional, Scientific &amp; Technical Services</v>
      </c>
      <c r="C105" s="1">
        <v>6</v>
      </c>
    </row>
    <row r="106" spans="1:3" x14ac:dyDescent="0.25">
      <c r="A106" s="1" t="s">
        <v>17</v>
      </c>
      <c r="B106" s="1" t="str">
        <f t="shared" si="5"/>
        <v>Information</v>
      </c>
      <c r="C106" s="1">
        <v>5</v>
      </c>
    </row>
    <row r="107" spans="1:3" x14ac:dyDescent="0.25">
      <c r="A107" s="1" t="s">
        <v>22</v>
      </c>
      <c r="B107" s="1" t="str">
        <f t="shared" si="5"/>
        <v>Other Services</v>
      </c>
      <c r="C107" s="1">
        <v>4</v>
      </c>
    </row>
    <row r="108" spans="1:3" x14ac:dyDescent="0.25">
      <c r="A108" s="1" t="s">
        <v>11</v>
      </c>
      <c r="B108" s="1" t="str">
        <f t="shared" si="5"/>
        <v>Finance &amp; Insurance</v>
      </c>
      <c r="C108" s="1">
        <v>3</v>
      </c>
    </row>
    <row r="109" spans="1:3" x14ac:dyDescent="0.25">
      <c r="A109" s="1" t="s">
        <v>12</v>
      </c>
      <c r="B109" s="1" t="str">
        <f t="shared" si="5"/>
        <v>Educational Services</v>
      </c>
      <c r="C109" s="1">
        <v>2</v>
      </c>
    </row>
    <row r="110" spans="1:3" x14ac:dyDescent="0.25">
      <c r="A110" s="1" t="s">
        <v>43</v>
      </c>
      <c r="B110" s="1" t="str">
        <f t="shared" si="5"/>
        <v>Health Care &amp; Social Assistance</v>
      </c>
      <c r="C110" s="1">
        <v>1</v>
      </c>
    </row>
    <row r="112" spans="1:3" x14ac:dyDescent="0.25">
      <c r="A112" s="39" t="s">
        <v>3818</v>
      </c>
      <c r="B112" s="39"/>
      <c r="C112" s="39"/>
    </row>
    <row r="113" spans="1:3" x14ac:dyDescent="0.25">
      <c r="A113" s="2" t="s">
        <v>1</v>
      </c>
      <c r="B113" s="1" t="str">
        <f t="shared" ref="B113:B130" si="6">TRIM(A113)</f>
        <v>Arts, Entertainment &amp; Recreation</v>
      </c>
      <c r="C113" s="2">
        <v>17</v>
      </c>
    </row>
    <row r="114" spans="1:3" x14ac:dyDescent="0.25">
      <c r="A114" s="2" t="s">
        <v>6</v>
      </c>
      <c r="B114" s="1" t="str">
        <f t="shared" si="6"/>
        <v>Wholesale Trade</v>
      </c>
      <c r="C114" s="2">
        <v>16</v>
      </c>
    </row>
    <row r="115" spans="1:3" x14ac:dyDescent="0.25">
      <c r="A115" s="2" t="s">
        <v>9</v>
      </c>
      <c r="B115" s="1" t="str">
        <f t="shared" si="6"/>
        <v>Management of Companies &amp; Support Services</v>
      </c>
      <c r="C115" s="2">
        <v>15</v>
      </c>
    </row>
    <row r="116" spans="1:3" x14ac:dyDescent="0.25">
      <c r="A116" s="2" t="s">
        <v>10</v>
      </c>
      <c r="B116" s="1" t="str">
        <f t="shared" si="6"/>
        <v>Public Administration</v>
      </c>
      <c r="C116" s="2">
        <v>14</v>
      </c>
    </row>
    <row r="117" spans="1:3" x14ac:dyDescent="0.25">
      <c r="A117" s="2" t="s">
        <v>3</v>
      </c>
      <c r="B117" s="1" t="str">
        <f t="shared" si="6"/>
        <v>Utilities</v>
      </c>
      <c r="C117" s="2">
        <v>13</v>
      </c>
    </row>
    <row r="118" spans="1:3" x14ac:dyDescent="0.25">
      <c r="A118" s="2" t="s">
        <v>33</v>
      </c>
      <c r="B118" s="1" t="str">
        <f t="shared" si="6"/>
        <v>Mining</v>
      </c>
      <c r="C118" s="2">
        <v>12</v>
      </c>
    </row>
    <row r="119" spans="1:3" x14ac:dyDescent="0.25">
      <c r="A119" s="2" t="s">
        <v>8</v>
      </c>
      <c r="B119" s="1" t="str">
        <f t="shared" si="6"/>
        <v>Retail Trade</v>
      </c>
      <c r="C119" s="2">
        <v>11</v>
      </c>
    </row>
    <row r="120" spans="1:3" x14ac:dyDescent="0.25">
      <c r="A120" s="2" t="s">
        <v>4</v>
      </c>
      <c r="B120" s="1" t="str">
        <f t="shared" si="6"/>
        <v>Accommodation &amp; Food Services</v>
      </c>
      <c r="C120" s="2">
        <v>10</v>
      </c>
    </row>
    <row r="121" spans="1:3" x14ac:dyDescent="0.25">
      <c r="A121" s="2" t="s">
        <v>12</v>
      </c>
      <c r="B121" s="1" t="str">
        <f t="shared" si="6"/>
        <v>Educational Services</v>
      </c>
      <c r="C121" s="2">
        <v>9</v>
      </c>
    </row>
    <row r="122" spans="1:3" x14ac:dyDescent="0.25">
      <c r="A122" s="2" t="s">
        <v>7</v>
      </c>
      <c r="B122" s="1" t="str">
        <f t="shared" si="6"/>
        <v>Construction</v>
      </c>
      <c r="C122" s="2">
        <v>8</v>
      </c>
    </row>
    <row r="123" spans="1:3" x14ac:dyDescent="0.25">
      <c r="A123" s="2" t="s">
        <v>11</v>
      </c>
      <c r="B123" s="1" t="str">
        <f t="shared" si="6"/>
        <v>Finance &amp; Insurance</v>
      </c>
      <c r="C123" s="2">
        <v>7</v>
      </c>
    </row>
    <row r="124" spans="1:3" x14ac:dyDescent="0.25">
      <c r="A124" s="2" t="s">
        <v>2</v>
      </c>
      <c r="B124" s="1" t="str">
        <f t="shared" si="6"/>
        <v>Health Care &amp; Social Assistance</v>
      </c>
      <c r="C124" s="2">
        <v>6</v>
      </c>
    </row>
    <row r="125" spans="1:3" x14ac:dyDescent="0.25">
      <c r="A125" s="2" t="s">
        <v>5</v>
      </c>
      <c r="B125" s="1" t="str">
        <f t="shared" si="6"/>
        <v>Transportation &amp; Warehousing</v>
      </c>
      <c r="C125" s="2">
        <v>5</v>
      </c>
    </row>
    <row r="126" spans="1:3" x14ac:dyDescent="0.25">
      <c r="A126" s="2" t="s">
        <v>32</v>
      </c>
      <c r="B126" s="1" t="str">
        <f t="shared" si="6"/>
        <v>Professional, Scientific &amp; Technical Services</v>
      </c>
      <c r="C126" s="2">
        <v>4</v>
      </c>
    </row>
    <row r="127" spans="1:3" x14ac:dyDescent="0.25">
      <c r="A127" s="2" t="s">
        <v>22</v>
      </c>
      <c r="B127" s="1" t="str">
        <f t="shared" si="6"/>
        <v>Other Services</v>
      </c>
      <c r="C127" s="2">
        <v>3</v>
      </c>
    </row>
    <row r="128" spans="1:3" x14ac:dyDescent="0.25">
      <c r="A128" s="2" t="s">
        <v>17</v>
      </c>
      <c r="B128" s="1" t="str">
        <f t="shared" si="6"/>
        <v>Information</v>
      </c>
      <c r="C128" s="2">
        <v>2</v>
      </c>
    </row>
    <row r="129" spans="1:3" x14ac:dyDescent="0.25">
      <c r="A129" s="2" t="s">
        <v>3819</v>
      </c>
      <c r="B129" s="1" t="str">
        <f t="shared" si="6"/>
        <v>Real Estate, Rental &amp; Leasing</v>
      </c>
      <c r="C129" s="2">
        <v>1</v>
      </c>
    </row>
    <row r="130" spans="1:3" x14ac:dyDescent="0.25">
      <c r="A130" s="2" t="s">
        <v>35</v>
      </c>
      <c r="B130" s="1" t="str">
        <f t="shared" si="6"/>
        <v>Agriculture, Forestry, Fishing &amp; Hunting</v>
      </c>
      <c r="C130" s="2">
        <v>-1</v>
      </c>
    </row>
  </sheetData>
  <mergeCells count="7">
    <mergeCell ref="A112:C112"/>
    <mergeCell ref="A92:C92"/>
    <mergeCell ref="A1:C1"/>
    <mergeCell ref="A21:C21"/>
    <mergeCell ref="A41:C41"/>
    <mergeCell ref="A58:C58"/>
    <mergeCell ref="A77:C77"/>
  </mergeCells>
  <pageMargins left="0.7" right="0.7" top="0.75" bottom="0.75" header="0.51180555555555496" footer="0.51180555555555496"/>
  <pageSetup paperSize="9" firstPageNumber="0" orientation="portrait" horizontalDpi="300" verticalDpi="3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G129"/>
  <sheetViews>
    <sheetView zoomScaleNormal="100" workbookViewId="0">
      <selection activeCell="O20" sqref="O20"/>
    </sheetView>
  </sheetViews>
  <sheetFormatPr defaultRowHeight="15" x14ac:dyDescent="0.25"/>
  <cols>
    <col min="1" max="1" width="43.85546875" customWidth="1"/>
    <col min="2" max="2" width="43.42578125" customWidth="1"/>
    <col min="3" max="7" width="8.7109375" customWidth="1"/>
    <col min="9" max="1025" width="8.7109375" customWidth="1"/>
  </cols>
  <sheetData>
    <row r="1" spans="1:7" x14ac:dyDescent="0.25">
      <c r="A1" s="39" t="s">
        <v>0</v>
      </c>
      <c r="B1" s="39"/>
      <c r="C1" s="39"/>
    </row>
    <row r="2" spans="1:7" x14ac:dyDescent="0.25">
      <c r="A2" s="1" t="s">
        <v>25</v>
      </c>
      <c r="B2" s="1" t="str">
        <f t="shared" ref="B2:B19" si="0">TRIM(A2)</f>
        <v>Retail Trade</v>
      </c>
      <c r="C2" s="1">
        <v>18</v>
      </c>
      <c r="F2" t="s">
        <v>31</v>
      </c>
      <c r="G2" t="s">
        <v>3937</v>
      </c>
    </row>
    <row r="3" spans="1:7" x14ac:dyDescent="0.25">
      <c r="A3" s="1" t="s">
        <v>6</v>
      </c>
      <c r="B3" s="1" t="str">
        <f t="shared" si="0"/>
        <v>Wholesale Trade</v>
      </c>
      <c r="C3" s="1">
        <v>17</v>
      </c>
      <c r="F3" t="s">
        <v>35</v>
      </c>
      <c r="G3" t="s">
        <v>3938</v>
      </c>
    </row>
    <row r="4" spans="1:7" x14ac:dyDescent="0.25">
      <c r="A4" s="1" t="s">
        <v>7</v>
      </c>
      <c r="B4" s="1" t="str">
        <f t="shared" si="0"/>
        <v>Construction</v>
      </c>
      <c r="C4" s="1">
        <v>16</v>
      </c>
      <c r="F4" t="s">
        <v>1</v>
      </c>
      <c r="G4" t="s">
        <v>3939</v>
      </c>
    </row>
    <row r="5" spans="1:7" x14ac:dyDescent="0.25">
      <c r="A5" s="1" t="s">
        <v>42</v>
      </c>
      <c r="B5" s="1" t="str">
        <f t="shared" si="0"/>
        <v>Arts, Entertainment &amp; Recreation</v>
      </c>
      <c r="C5" s="1">
        <v>15</v>
      </c>
      <c r="F5" t="s">
        <v>20</v>
      </c>
      <c r="G5" t="s">
        <v>3940</v>
      </c>
    </row>
    <row r="6" spans="1:7" x14ac:dyDescent="0.25">
      <c r="A6" s="1" t="s">
        <v>5</v>
      </c>
      <c r="B6" s="1" t="str">
        <f t="shared" si="0"/>
        <v>Transportation &amp; Warehousing</v>
      </c>
      <c r="C6" s="1">
        <v>14</v>
      </c>
      <c r="F6" t="s">
        <v>23</v>
      </c>
      <c r="G6" t="s">
        <v>3941</v>
      </c>
    </row>
    <row r="7" spans="1:7" x14ac:dyDescent="0.25">
      <c r="A7" s="1" t="s">
        <v>14</v>
      </c>
      <c r="B7" s="1" t="str">
        <f t="shared" si="0"/>
        <v>Real Estate, Rental &amp; Leasing</v>
      </c>
      <c r="C7" s="1">
        <v>13</v>
      </c>
      <c r="F7" t="s">
        <v>43</v>
      </c>
      <c r="G7" t="s">
        <v>3942</v>
      </c>
    </row>
    <row r="8" spans="1:7" x14ac:dyDescent="0.25">
      <c r="A8" s="1" t="s">
        <v>33</v>
      </c>
      <c r="B8" s="1" t="str">
        <f t="shared" si="0"/>
        <v>Mining</v>
      </c>
      <c r="C8" s="1">
        <v>12</v>
      </c>
      <c r="F8" t="s">
        <v>41</v>
      </c>
      <c r="G8" t="s">
        <v>3943</v>
      </c>
    </row>
    <row r="9" spans="1:7" x14ac:dyDescent="0.25">
      <c r="A9" s="1" t="s">
        <v>11</v>
      </c>
      <c r="B9" s="1" t="str">
        <f t="shared" si="0"/>
        <v>Finance &amp; Insurance</v>
      </c>
      <c r="C9" s="1">
        <v>11</v>
      </c>
      <c r="F9" t="s">
        <v>16</v>
      </c>
      <c r="G9" t="s">
        <v>3944</v>
      </c>
    </row>
    <row r="10" spans="1:7" x14ac:dyDescent="0.25">
      <c r="A10" s="1" t="s">
        <v>9</v>
      </c>
      <c r="B10" s="1" t="str">
        <f t="shared" si="0"/>
        <v>Management of Companies &amp; Support Services</v>
      </c>
      <c r="C10" s="1">
        <v>10</v>
      </c>
      <c r="F10" t="s">
        <v>15</v>
      </c>
      <c r="G10" t="s">
        <v>3945</v>
      </c>
    </row>
    <row r="11" spans="1:7" x14ac:dyDescent="0.25">
      <c r="A11" s="1" t="s">
        <v>3</v>
      </c>
      <c r="B11" s="1" t="str">
        <f t="shared" si="0"/>
        <v>Utilities</v>
      </c>
      <c r="C11" s="1">
        <v>9</v>
      </c>
      <c r="F11" t="s">
        <v>29</v>
      </c>
      <c r="G11" t="s">
        <v>3946</v>
      </c>
    </row>
    <row r="12" spans="1:7" x14ac:dyDescent="0.25">
      <c r="A12" s="1" t="s">
        <v>22</v>
      </c>
      <c r="B12" s="1" t="str">
        <f t="shared" si="0"/>
        <v>Other Services</v>
      </c>
      <c r="C12" s="1">
        <v>8</v>
      </c>
      <c r="F12" t="s">
        <v>25</v>
      </c>
      <c r="G12" t="s">
        <v>3947</v>
      </c>
    </row>
    <row r="13" spans="1:7" x14ac:dyDescent="0.25">
      <c r="A13" s="1" t="s">
        <v>17</v>
      </c>
      <c r="B13" s="1" t="str">
        <f t="shared" si="0"/>
        <v>Information</v>
      </c>
      <c r="C13" s="1">
        <v>7</v>
      </c>
      <c r="F13" t="s">
        <v>36</v>
      </c>
      <c r="G13" t="s">
        <v>3948</v>
      </c>
    </row>
    <row r="14" spans="1:7" x14ac:dyDescent="0.25">
      <c r="A14" s="1" t="s">
        <v>4</v>
      </c>
      <c r="B14" s="1" t="str">
        <f t="shared" si="0"/>
        <v>Accommodation &amp; Food Services</v>
      </c>
      <c r="C14" s="1">
        <v>6</v>
      </c>
    </row>
    <row r="15" spans="1:7" x14ac:dyDescent="0.25">
      <c r="A15" s="1" t="s">
        <v>2</v>
      </c>
      <c r="B15" s="1" t="str">
        <f t="shared" si="0"/>
        <v>Health Care &amp; Social Assistance</v>
      </c>
      <c r="C15" s="1">
        <v>5</v>
      </c>
    </row>
    <row r="16" spans="1:7" x14ac:dyDescent="0.25">
      <c r="A16" s="1" t="s">
        <v>13</v>
      </c>
      <c r="B16" s="1" t="str">
        <f t="shared" si="0"/>
        <v>Agriculture, Forestry, Fishing &amp; Hunting</v>
      </c>
      <c r="C16" s="1">
        <v>4</v>
      </c>
    </row>
    <row r="17" spans="1:3" x14ac:dyDescent="0.25">
      <c r="A17" s="1" t="s">
        <v>10</v>
      </c>
      <c r="B17" s="1" t="str">
        <f t="shared" si="0"/>
        <v>Public Administration</v>
      </c>
      <c r="C17" s="1">
        <v>3</v>
      </c>
    </row>
    <row r="18" spans="1:3" x14ac:dyDescent="0.25">
      <c r="A18" s="1" t="s">
        <v>32</v>
      </c>
      <c r="B18" s="1" t="str">
        <f t="shared" si="0"/>
        <v>Professional, Scientific &amp; Technical Services</v>
      </c>
      <c r="C18" s="1">
        <v>2</v>
      </c>
    </row>
    <row r="19" spans="1:3" x14ac:dyDescent="0.25">
      <c r="A19" s="1" t="s">
        <v>27</v>
      </c>
      <c r="B19" s="1" t="str">
        <f t="shared" si="0"/>
        <v>Educational Services</v>
      </c>
      <c r="C19" s="1">
        <v>1</v>
      </c>
    </row>
    <row r="21" spans="1:3" x14ac:dyDescent="0.25">
      <c r="A21" s="39" t="s">
        <v>19</v>
      </c>
      <c r="B21" s="39"/>
      <c r="C21" s="39"/>
    </row>
    <row r="22" spans="1:3" x14ac:dyDescent="0.25">
      <c r="A22" s="1" t="s">
        <v>25</v>
      </c>
      <c r="B22" s="1" t="str">
        <f t="shared" ref="B22:B39" si="1">TRIM(A22)</f>
        <v>Retail Trade</v>
      </c>
      <c r="C22" s="1">
        <v>18</v>
      </c>
    </row>
    <row r="23" spans="1:3" x14ac:dyDescent="0.25">
      <c r="A23" s="1" t="s">
        <v>6</v>
      </c>
      <c r="B23" s="1" t="str">
        <f t="shared" si="1"/>
        <v>Wholesale Trade</v>
      </c>
      <c r="C23" s="1">
        <v>17</v>
      </c>
    </row>
    <row r="24" spans="1:3" x14ac:dyDescent="0.25">
      <c r="A24" s="1" t="s">
        <v>11</v>
      </c>
      <c r="B24" s="1" t="str">
        <f t="shared" si="1"/>
        <v>Finance &amp; Insurance</v>
      </c>
      <c r="C24" s="1">
        <v>16</v>
      </c>
    </row>
    <row r="25" spans="1:3" x14ac:dyDescent="0.25">
      <c r="A25" s="1" t="s">
        <v>5</v>
      </c>
      <c r="B25" s="1" t="str">
        <f t="shared" si="1"/>
        <v>Transportation &amp; Warehousing</v>
      </c>
      <c r="C25" s="1">
        <v>15</v>
      </c>
    </row>
    <row r="26" spans="1:3" x14ac:dyDescent="0.25">
      <c r="A26" s="1" t="s">
        <v>33</v>
      </c>
      <c r="B26" s="1" t="str">
        <f t="shared" si="1"/>
        <v>Mining</v>
      </c>
      <c r="C26" s="1">
        <v>14</v>
      </c>
    </row>
    <row r="27" spans="1:3" x14ac:dyDescent="0.25">
      <c r="A27" s="1" t="s">
        <v>7</v>
      </c>
      <c r="B27" s="1" t="str">
        <f t="shared" si="1"/>
        <v>Construction</v>
      </c>
      <c r="C27" s="1">
        <v>13</v>
      </c>
    </row>
    <row r="28" spans="1:3" x14ac:dyDescent="0.25">
      <c r="A28" s="1" t="s">
        <v>2</v>
      </c>
      <c r="B28" s="1" t="str">
        <f t="shared" si="1"/>
        <v>Health Care &amp; Social Assistance</v>
      </c>
      <c r="C28" s="1">
        <v>12</v>
      </c>
    </row>
    <row r="29" spans="1:3" x14ac:dyDescent="0.25">
      <c r="A29" s="1" t="s">
        <v>42</v>
      </c>
      <c r="B29" s="1" t="str">
        <f t="shared" si="1"/>
        <v>Arts, Entertainment &amp; Recreation</v>
      </c>
      <c r="C29" s="1">
        <v>11</v>
      </c>
    </row>
    <row r="30" spans="1:3" x14ac:dyDescent="0.25">
      <c r="A30" s="1" t="s">
        <v>17</v>
      </c>
      <c r="B30" s="1" t="str">
        <f t="shared" si="1"/>
        <v>Information</v>
      </c>
      <c r="C30" s="1">
        <v>10</v>
      </c>
    </row>
    <row r="31" spans="1:3" x14ac:dyDescent="0.25">
      <c r="A31" s="1" t="s">
        <v>9</v>
      </c>
      <c r="B31" s="1" t="str">
        <f t="shared" si="1"/>
        <v>Management of Companies &amp; Support Services</v>
      </c>
      <c r="C31" s="1">
        <v>9</v>
      </c>
    </row>
    <row r="32" spans="1:3" x14ac:dyDescent="0.25">
      <c r="A32" s="1" t="s">
        <v>22</v>
      </c>
      <c r="B32" s="1" t="str">
        <f t="shared" si="1"/>
        <v>Other Services</v>
      </c>
      <c r="C32" s="1">
        <v>8</v>
      </c>
    </row>
    <row r="33" spans="1:3" x14ac:dyDescent="0.25">
      <c r="A33" s="1" t="s">
        <v>12</v>
      </c>
      <c r="B33" s="1" t="str">
        <f t="shared" si="1"/>
        <v>Educational Services</v>
      </c>
      <c r="C33" s="1">
        <v>7</v>
      </c>
    </row>
    <row r="34" spans="1:3" x14ac:dyDescent="0.25">
      <c r="A34" s="1" t="s">
        <v>3</v>
      </c>
      <c r="B34" s="1" t="str">
        <f t="shared" si="1"/>
        <v>Utilities</v>
      </c>
      <c r="C34" s="1">
        <v>6</v>
      </c>
    </row>
    <row r="35" spans="1:3" x14ac:dyDescent="0.25">
      <c r="A35" s="1" t="s">
        <v>13</v>
      </c>
      <c r="B35" s="1" t="str">
        <f t="shared" si="1"/>
        <v>Agriculture, Forestry, Fishing &amp; Hunting</v>
      </c>
      <c r="C35" s="1">
        <v>5</v>
      </c>
    </row>
    <row r="36" spans="1:3" x14ac:dyDescent="0.25">
      <c r="A36" s="1" t="s">
        <v>14</v>
      </c>
      <c r="B36" s="1" t="str">
        <f t="shared" si="1"/>
        <v>Real Estate, Rental &amp; Leasing</v>
      </c>
      <c r="C36" s="1">
        <v>4</v>
      </c>
    </row>
    <row r="37" spans="1:3" x14ac:dyDescent="0.25">
      <c r="A37" s="1" t="s">
        <v>4</v>
      </c>
      <c r="B37" s="1" t="str">
        <f t="shared" si="1"/>
        <v>Accommodation &amp; Food Services</v>
      </c>
      <c r="C37" s="1">
        <v>3</v>
      </c>
    </row>
    <row r="38" spans="1:3" x14ac:dyDescent="0.25">
      <c r="A38" s="1" t="s">
        <v>32</v>
      </c>
      <c r="B38" s="1" t="str">
        <f t="shared" si="1"/>
        <v>Professional, Scientific &amp; Technical Services</v>
      </c>
      <c r="C38" s="1">
        <v>2</v>
      </c>
    </row>
    <row r="39" spans="1:3" x14ac:dyDescent="0.25">
      <c r="A39" s="1" t="s">
        <v>34</v>
      </c>
      <c r="B39" s="1" t="str">
        <f t="shared" si="1"/>
        <v>Public Administration</v>
      </c>
      <c r="C39" s="1">
        <v>1</v>
      </c>
    </row>
    <row r="41" spans="1:3" x14ac:dyDescent="0.25">
      <c r="A41" s="39" t="s">
        <v>21</v>
      </c>
      <c r="B41" s="39"/>
      <c r="C41" s="39"/>
    </row>
    <row r="42" spans="1:3" x14ac:dyDescent="0.25">
      <c r="A42" s="1" t="s">
        <v>1</v>
      </c>
      <c r="B42" s="1" t="str">
        <f t="shared" ref="B42:B54" si="2">TRIM(A42)</f>
        <v>Arts, Entertainment &amp; Recreation</v>
      </c>
      <c r="C42" s="1">
        <v>10</v>
      </c>
    </row>
    <row r="43" spans="1:3" x14ac:dyDescent="0.25">
      <c r="A43" s="1" t="s">
        <v>14</v>
      </c>
      <c r="B43" s="1" t="str">
        <f t="shared" si="2"/>
        <v>Real Estate, Rental &amp; Leasing</v>
      </c>
      <c r="C43" s="1">
        <v>9</v>
      </c>
    </row>
    <row r="44" spans="1:3" x14ac:dyDescent="0.25">
      <c r="A44" s="1" t="s">
        <v>8</v>
      </c>
      <c r="B44" s="1" t="str">
        <f t="shared" si="2"/>
        <v>Retail Trade</v>
      </c>
      <c r="C44" s="1">
        <v>8</v>
      </c>
    </row>
    <row r="45" spans="1:3" x14ac:dyDescent="0.25">
      <c r="A45" s="1" t="s">
        <v>7</v>
      </c>
      <c r="B45" s="1" t="str">
        <f t="shared" si="2"/>
        <v>Construction</v>
      </c>
      <c r="C45" s="1">
        <v>7</v>
      </c>
    </row>
    <row r="46" spans="1:3" x14ac:dyDescent="0.25">
      <c r="A46" s="1" t="s">
        <v>11</v>
      </c>
      <c r="B46" s="1" t="str">
        <f t="shared" si="2"/>
        <v>Finance &amp; Insurance</v>
      </c>
      <c r="C46" s="1">
        <v>6</v>
      </c>
    </row>
    <row r="47" spans="1:3" x14ac:dyDescent="0.25">
      <c r="A47" s="1" t="s">
        <v>6</v>
      </c>
      <c r="B47" s="1" t="str">
        <f t="shared" si="2"/>
        <v>Wholesale Trade</v>
      </c>
      <c r="C47" s="1">
        <v>5</v>
      </c>
    </row>
    <row r="48" spans="1:3" x14ac:dyDescent="0.25">
      <c r="A48" s="1" t="s">
        <v>33</v>
      </c>
      <c r="B48" s="1" t="str">
        <f t="shared" si="2"/>
        <v>Mining</v>
      </c>
      <c r="C48" s="1">
        <v>4</v>
      </c>
    </row>
    <row r="49" spans="1:3" x14ac:dyDescent="0.25">
      <c r="A49" s="1" t="s">
        <v>5</v>
      </c>
      <c r="B49" s="1" t="str">
        <f t="shared" si="2"/>
        <v>Transportation &amp; Warehousing</v>
      </c>
      <c r="C49" s="1">
        <v>3</v>
      </c>
    </row>
    <row r="50" spans="1:3" x14ac:dyDescent="0.25">
      <c r="A50" s="1" t="s">
        <v>10</v>
      </c>
      <c r="B50" s="1" t="str">
        <f t="shared" si="2"/>
        <v>Public Administration</v>
      </c>
      <c r="C50" s="1">
        <v>2</v>
      </c>
    </row>
    <row r="51" spans="1:3" x14ac:dyDescent="0.25">
      <c r="A51" s="1" t="s">
        <v>40</v>
      </c>
      <c r="B51" s="1" t="str">
        <f t="shared" si="2"/>
        <v>Utilities</v>
      </c>
      <c r="C51" s="1">
        <v>1</v>
      </c>
    </row>
    <row r="52" spans="1:3" x14ac:dyDescent="0.25">
      <c r="A52" s="1" t="s">
        <v>31</v>
      </c>
      <c r="B52" s="1" t="str">
        <f t="shared" si="2"/>
        <v>Accommodation &amp; Food Services</v>
      </c>
      <c r="C52" s="1">
        <v>-3</v>
      </c>
    </row>
    <row r="53" spans="1:3" x14ac:dyDescent="0.25">
      <c r="A53" s="1" t="s">
        <v>13</v>
      </c>
      <c r="B53" s="1" t="str">
        <f t="shared" si="2"/>
        <v>Agriculture, Forestry, Fishing &amp; Hunting</v>
      </c>
      <c r="C53" s="1">
        <v>-2</v>
      </c>
    </row>
    <row r="54" spans="1:3" x14ac:dyDescent="0.25">
      <c r="A54" s="1" t="s">
        <v>27</v>
      </c>
      <c r="B54" s="1" t="str">
        <f t="shared" si="2"/>
        <v>Educational Services</v>
      </c>
      <c r="C54" s="1">
        <v>-1</v>
      </c>
    </row>
    <row r="56" spans="1:3" x14ac:dyDescent="0.25">
      <c r="A56" s="39" t="s">
        <v>24</v>
      </c>
      <c r="B56" s="39"/>
      <c r="C56" s="39"/>
    </row>
    <row r="57" spans="1:3" x14ac:dyDescent="0.25">
      <c r="A57" s="1" t="s">
        <v>31</v>
      </c>
      <c r="B57" s="1" t="str">
        <f t="shared" ref="B57:B74" si="3">TRIM(A57)</f>
        <v>Accommodation &amp; Food Services</v>
      </c>
      <c r="C57" s="1">
        <v>-17</v>
      </c>
    </row>
    <row r="58" spans="1:3" x14ac:dyDescent="0.25">
      <c r="A58" s="1" t="s">
        <v>9</v>
      </c>
      <c r="B58" s="1" t="str">
        <f t="shared" si="3"/>
        <v>Management of Companies &amp; Support Services</v>
      </c>
      <c r="C58" s="1">
        <v>-16</v>
      </c>
    </row>
    <row r="59" spans="1:3" x14ac:dyDescent="0.25">
      <c r="A59" s="1" t="s">
        <v>6</v>
      </c>
      <c r="B59" s="1" t="str">
        <f t="shared" si="3"/>
        <v>Wholesale Trade</v>
      </c>
      <c r="C59" s="1">
        <v>-15</v>
      </c>
    </row>
    <row r="60" spans="1:3" x14ac:dyDescent="0.25">
      <c r="A60" s="1" t="s">
        <v>5</v>
      </c>
      <c r="B60" s="1" t="str">
        <f t="shared" si="3"/>
        <v>Transportation &amp; Warehousing</v>
      </c>
      <c r="C60" s="1">
        <v>-14</v>
      </c>
    </row>
    <row r="61" spans="1:3" x14ac:dyDescent="0.25">
      <c r="A61" s="1" t="s">
        <v>7</v>
      </c>
      <c r="B61" s="1" t="str">
        <f t="shared" si="3"/>
        <v>Construction</v>
      </c>
      <c r="C61" s="1">
        <v>-13</v>
      </c>
    </row>
    <row r="62" spans="1:3" x14ac:dyDescent="0.25">
      <c r="A62" s="1" t="s">
        <v>13</v>
      </c>
      <c r="B62" s="1" t="str">
        <f t="shared" si="3"/>
        <v>Agriculture, Forestry, Fishing &amp; Hunting</v>
      </c>
      <c r="C62" s="1">
        <v>-12</v>
      </c>
    </row>
    <row r="63" spans="1:3" x14ac:dyDescent="0.25">
      <c r="A63" s="1" t="s">
        <v>14</v>
      </c>
      <c r="B63" s="1" t="str">
        <f t="shared" si="3"/>
        <v>Real Estate, Rental &amp; Leasing</v>
      </c>
      <c r="C63" s="1">
        <v>-11</v>
      </c>
    </row>
    <row r="64" spans="1:3" x14ac:dyDescent="0.25">
      <c r="A64" s="1" t="s">
        <v>3</v>
      </c>
      <c r="B64" s="1" t="str">
        <f t="shared" si="3"/>
        <v>Utilities</v>
      </c>
      <c r="C64" s="1">
        <v>-10</v>
      </c>
    </row>
    <row r="65" spans="1:3" x14ac:dyDescent="0.25">
      <c r="A65" s="1" t="s">
        <v>22</v>
      </c>
      <c r="B65" s="1" t="str">
        <f t="shared" si="3"/>
        <v>Other Services</v>
      </c>
      <c r="C65" s="1">
        <v>-9</v>
      </c>
    </row>
    <row r="66" spans="1:3" x14ac:dyDescent="0.25">
      <c r="A66" s="1" t="s">
        <v>8</v>
      </c>
      <c r="B66" s="1" t="str">
        <f t="shared" si="3"/>
        <v>Retail Trade</v>
      </c>
      <c r="C66" s="1">
        <v>-8</v>
      </c>
    </row>
    <row r="67" spans="1:3" x14ac:dyDescent="0.25">
      <c r="A67" s="1" t="s">
        <v>33</v>
      </c>
      <c r="B67" s="1" t="str">
        <f t="shared" si="3"/>
        <v>Mining</v>
      </c>
      <c r="C67" s="1">
        <v>-7</v>
      </c>
    </row>
    <row r="68" spans="1:3" x14ac:dyDescent="0.25">
      <c r="A68" s="1" t="s">
        <v>17</v>
      </c>
      <c r="B68" s="1" t="str">
        <f t="shared" si="3"/>
        <v>Information</v>
      </c>
      <c r="C68" s="1">
        <v>-6</v>
      </c>
    </row>
    <row r="69" spans="1:3" x14ac:dyDescent="0.25">
      <c r="A69" s="1" t="s">
        <v>2</v>
      </c>
      <c r="B69" s="1" t="str">
        <f t="shared" si="3"/>
        <v>Health Care &amp; Social Assistance</v>
      </c>
      <c r="C69" s="1">
        <v>-5</v>
      </c>
    </row>
    <row r="70" spans="1:3" x14ac:dyDescent="0.25">
      <c r="A70" s="1" t="s">
        <v>32</v>
      </c>
      <c r="B70" s="1" t="str">
        <f t="shared" si="3"/>
        <v>Professional, Scientific &amp; Technical Services</v>
      </c>
      <c r="C70" s="1">
        <v>-4</v>
      </c>
    </row>
    <row r="71" spans="1:3" x14ac:dyDescent="0.25">
      <c r="A71" s="1" t="s">
        <v>11</v>
      </c>
      <c r="B71" s="1" t="str">
        <f t="shared" si="3"/>
        <v>Finance &amp; Insurance</v>
      </c>
      <c r="C71" s="1">
        <v>-3</v>
      </c>
    </row>
    <row r="72" spans="1:3" x14ac:dyDescent="0.25">
      <c r="A72" s="1" t="s">
        <v>10</v>
      </c>
      <c r="B72" s="1" t="str">
        <f t="shared" si="3"/>
        <v>Public Administration</v>
      </c>
      <c r="C72" s="1">
        <v>-2</v>
      </c>
    </row>
    <row r="73" spans="1:3" x14ac:dyDescent="0.25">
      <c r="A73" s="1" t="s">
        <v>27</v>
      </c>
      <c r="B73" s="1" t="str">
        <f t="shared" si="3"/>
        <v>Educational Services</v>
      </c>
      <c r="C73" s="1">
        <v>-1</v>
      </c>
    </row>
    <row r="74" spans="1:3" x14ac:dyDescent="0.25">
      <c r="A74" s="1" t="s">
        <v>1</v>
      </c>
      <c r="B74" s="1" t="str">
        <f t="shared" si="3"/>
        <v>Arts, Entertainment &amp; Recreation</v>
      </c>
      <c r="C74" s="1">
        <v>1</v>
      </c>
    </row>
    <row r="76" spans="1:3" x14ac:dyDescent="0.25">
      <c r="A76" s="39" t="s">
        <v>26</v>
      </c>
      <c r="B76" s="39"/>
      <c r="C76" s="39"/>
    </row>
    <row r="77" spans="1:3" x14ac:dyDescent="0.25">
      <c r="A77" s="1" t="s">
        <v>1</v>
      </c>
      <c r="B77" s="1" t="str">
        <f t="shared" ref="B77:B89" si="4">TRIM(A77)</f>
        <v>Arts, Entertainment &amp; Recreation</v>
      </c>
      <c r="C77" s="1">
        <v>7</v>
      </c>
    </row>
    <row r="78" spans="1:3" x14ac:dyDescent="0.25">
      <c r="A78" s="1" t="s">
        <v>9</v>
      </c>
      <c r="B78" s="1" t="str">
        <f t="shared" si="4"/>
        <v>Management of Companies &amp; Support Services</v>
      </c>
      <c r="C78" s="1">
        <v>6</v>
      </c>
    </row>
    <row r="79" spans="1:3" x14ac:dyDescent="0.25">
      <c r="A79" s="1" t="s">
        <v>6</v>
      </c>
      <c r="B79" s="1" t="str">
        <f t="shared" si="4"/>
        <v>Wholesale Trade</v>
      </c>
      <c r="C79" s="1">
        <v>5</v>
      </c>
    </row>
    <row r="80" spans="1:3" x14ac:dyDescent="0.25">
      <c r="A80" s="1" t="s">
        <v>13</v>
      </c>
      <c r="B80" s="1" t="str">
        <f t="shared" si="4"/>
        <v>Agriculture, Forestry, Fishing &amp; Hunting</v>
      </c>
      <c r="C80" s="1">
        <v>4</v>
      </c>
    </row>
    <row r="81" spans="1:3" x14ac:dyDescent="0.25">
      <c r="A81" s="1" t="s">
        <v>33</v>
      </c>
      <c r="B81" s="1" t="str">
        <f t="shared" si="4"/>
        <v>Mining</v>
      </c>
      <c r="C81" s="1">
        <v>3</v>
      </c>
    </row>
    <row r="82" spans="1:3" x14ac:dyDescent="0.25">
      <c r="A82" s="1" t="s">
        <v>11</v>
      </c>
      <c r="B82" s="1" t="str">
        <f t="shared" si="4"/>
        <v>Finance &amp; Insurance</v>
      </c>
      <c r="C82" s="1">
        <v>2</v>
      </c>
    </row>
    <row r="83" spans="1:3" x14ac:dyDescent="0.25">
      <c r="A83" s="1" t="s">
        <v>27</v>
      </c>
      <c r="B83" s="1" t="str">
        <f t="shared" si="4"/>
        <v>Educational Services</v>
      </c>
      <c r="C83" s="1">
        <v>1</v>
      </c>
    </row>
    <row r="84" spans="1:3" x14ac:dyDescent="0.25">
      <c r="A84" s="1" t="s">
        <v>31</v>
      </c>
      <c r="B84" s="1" t="str">
        <f t="shared" si="4"/>
        <v>Accommodation &amp; Food Services</v>
      </c>
      <c r="C84" s="1">
        <v>-6</v>
      </c>
    </row>
    <row r="85" spans="1:3" x14ac:dyDescent="0.25">
      <c r="A85" s="1" t="s">
        <v>2</v>
      </c>
      <c r="B85" s="1" t="str">
        <f t="shared" si="4"/>
        <v>Health Care &amp; Social Assistance</v>
      </c>
      <c r="C85" s="1">
        <v>-5</v>
      </c>
    </row>
    <row r="86" spans="1:3" x14ac:dyDescent="0.25">
      <c r="A86" s="1" t="s">
        <v>10</v>
      </c>
      <c r="B86" s="1" t="str">
        <f t="shared" si="4"/>
        <v>Public Administration</v>
      </c>
      <c r="C86" s="1">
        <v>-4</v>
      </c>
    </row>
    <row r="87" spans="1:3" x14ac:dyDescent="0.25">
      <c r="A87" s="1" t="s">
        <v>17</v>
      </c>
      <c r="B87" s="1" t="str">
        <f t="shared" si="4"/>
        <v>Information</v>
      </c>
      <c r="C87" s="1">
        <v>-3</v>
      </c>
    </row>
    <row r="88" spans="1:3" x14ac:dyDescent="0.25">
      <c r="A88" s="1" t="s">
        <v>32</v>
      </c>
      <c r="B88" s="1" t="str">
        <f t="shared" si="4"/>
        <v>Professional, Scientific &amp; Technical Services</v>
      </c>
      <c r="C88" s="1">
        <v>-2</v>
      </c>
    </row>
    <row r="89" spans="1:3" x14ac:dyDescent="0.25">
      <c r="A89" s="1" t="s">
        <v>40</v>
      </c>
      <c r="B89" s="1" t="str">
        <f t="shared" si="4"/>
        <v>Utilities</v>
      </c>
      <c r="C89" s="1">
        <v>-1</v>
      </c>
    </row>
    <row r="91" spans="1:3" x14ac:dyDescent="0.25">
      <c r="A91" s="39" t="s">
        <v>30</v>
      </c>
      <c r="B91" s="39"/>
      <c r="C91" s="39"/>
    </row>
    <row r="92" spans="1:3" x14ac:dyDescent="0.25">
      <c r="A92" s="1" t="s">
        <v>29</v>
      </c>
      <c r="B92" s="1" t="str">
        <f t="shared" ref="B92:B109" si="5">TRIM(A92)</f>
        <v>Real Estate, Rental &amp; Leasing</v>
      </c>
      <c r="C92" s="1">
        <v>18</v>
      </c>
    </row>
    <row r="93" spans="1:3" x14ac:dyDescent="0.25">
      <c r="A93" s="1" t="s">
        <v>6</v>
      </c>
      <c r="B93" s="1" t="str">
        <f t="shared" si="5"/>
        <v>Wholesale Trade</v>
      </c>
      <c r="C93" s="1">
        <v>17</v>
      </c>
    </row>
    <row r="94" spans="1:3" x14ac:dyDescent="0.25">
      <c r="A94" s="1" t="s">
        <v>7</v>
      </c>
      <c r="B94" s="1" t="str">
        <f t="shared" si="5"/>
        <v>Construction</v>
      </c>
      <c r="C94" s="1">
        <v>16</v>
      </c>
    </row>
    <row r="95" spans="1:3" x14ac:dyDescent="0.25">
      <c r="A95" s="1" t="s">
        <v>13</v>
      </c>
      <c r="B95" s="1" t="str">
        <f t="shared" si="5"/>
        <v>Agriculture, Forestry, Fishing &amp; Hunting</v>
      </c>
      <c r="C95" s="1">
        <v>15</v>
      </c>
    </row>
    <row r="96" spans="1:3" x14ac:dyDescent="0.25">
      <c r="A96" s="1" t="s">
        <v>5</v>
      </c>
      <c r="B96" s="1" t="str">
        <f t="shared" si="5"/>
        <v>Transportation &amp; Warehousing</v>
      </c>
      <c r="C96" s="1">
        <v>14</v>
      </c>
    </row>
    <row r="97" spans="1:3" x14ac:dyDescent="0.25">
      <c r="A97" s="1" t="s">
        <v>4</v>
      </c>
      <c r="B97" s="1" t="str">
        <f t="shared" si="5"/>
        <v>Accommodation &amp; Food Services</v>
      </c>
      <c r="C97" s="1">
        <v>13</v>
      </c>
    </row>
    <row r="98" spans="1:3" x14ac:dyDescent="0.25">
      <c r="A98" s="1" t="s">
        <v>3</v>
      </c>
      <c r="B98" s="1" t="str">
        <f t="shared" si="5"/>
        <v>Utilities</v>
      </c>
      <c r="C98" s="1">
        <v>12</v>
      </c>
    </row>
    <row r="99" spans="1:3" x14ac:dyDescent="0.25">
      <c r="A99" s="1" t="s">
        <v>9</v>
      </c>
      <c r="B99" s="1" t="str">
        <f t="shared" si="5"/>
        <v>Management of Companies &amp; Support Services</v>
      </c>
      <c r="C99" s="1">
        <v>11</v>
      </c>
    </row>
    <row r="100" spans="1:3" x14ac:dyDescent="0.25">
      <c r="A100" s="1" t="s">
        <v>10</v>
      </c>
      <c r="B100" s="1" t="str">
        <f t="shared" si="5"/>
        <v>Public Administration</v>
      </c>
      <c r="C100" s="1">
        <v>10</v>
      </c>
    </row>
    <row r="101" spans="1:3" x14ac:dyDescent="0.25">
      <c r="A101" s="1" t="s">
        <v>42</v>
      </c>
      <c r="B101" s="1" t="str">
        <f t="shared" si="5"/>
        <v>Arts, Entertainment &amp; Recreation</v>
      </c>
      <c r="C101" s="1">
        <v>9</v>
      </c>
    </row>
    <row r="102" spans="1:3" x14ac:dyDescent="0.25">
      <c r="A102" s="1" t="s">
        <v>11</v>
      </c>
      <c r="B102" s="1" t="str">
        <f t="shared" si="5"/>
        <v>Finance &amp; Insurance</v>
      </c>
      <c r="C102" s="1">
        <v>8</v>
      </c>
    </row>
    <row r="103" spans="1:3" x14ac:dyDescent="0.25">
      <c r="A103" s="1" t="s">
        <v>33</v>
      </c>
      <c r="B103" s="1" t="str">
        <f t="shared" si="5"/>
        <v>Mining</v>
      </c>
      <c r="C103" s="1">
        <v>7</v>
      </c>
    </row>
    <row r="104" spans="1:3" x14ac:dyDescent="0.25">
      <c r="A104" s="1" t="s">
        <v>22</v>
      </c>
      <c r="B104" s="1" t="str">
        <f t="shared" si="5"/>
        <v>Other Services</v>
      </c>
      <c r="C104" s="1">
        <v>6</v>
      </c>
    </row>
    <row r="105" spans="1:3" x14ac:dyDescent="0.25">
      <c r="A105" s="1" t="s">
        <v>8</v>
      </c>
      <c r="B105" s="1" t="str">
        <f t="shared" si="5"/>
        <v>Retail Trade</v>
      </c>
      <c r="C105" s="1">
        <v>5</v>
      </c>
    </row>
    <row r="106" spans="1:3" x14ac:dyDescent="0.25">
      <c r="A106" s="1" t="s">
        <v>32</v>
      </c>
      <c r="B106" s="1" t="str">
        <f t="shared" si="5"/>
        <v>Professional, Scientific &amp; Technical Services</v>
      </c>
      <c r="C106" s="1">
        <v>4</v>
      </c>
    </row>
    <row r="107" spans="1:3" x14ac:dyDescent="0.25">
      <c r="A107" s="1" t="s">
        <v>12</v>
      </c>
      <c r="B107" s="1" t="str">
        <f t="shared" si="5"/>
        <v>Educational Services</v>
      </c>
      <c r="C107" s="1">
        <v>3</v>
      </c>
    </row>
    <row r="108" spans="1:3" x14ac:dyDescent="0.25">
      <c r="A108" s="1" t="s">
        <v>17</v>
      </c>
      <c r="B108" s="1" t="str">
        <f t="shared" si="5"/>
        <v>Information</v>
      </c>
      <c r="C108" s="1">
        <v>2</v>
      </c>
    </row>
    <row r="109" spans="1:3" x14ac:dyDescent="0.25">
      <c r="A109" s="1" t="s">
        <v>43</v>
      </c>
      <c r="B109" s="1" t="str">
        <f t="shared" si="5"/>
        <v>Health Care &amp; Social Assistance</v>
      </c>
      <c r="C109" s="1">
        <v>1</v>
      </c>
    </row>
    <row r="111" spans="1:3" x14ac:dyDescent="0.25">
      <c r="A111" s="39" t="s">
        <v>3818</v>
      </c>
      <c r="B111" s="39"/>
      <c r="C111" s="39"/>
    </row>
    <row r="112" spans="1:3" x14ac:dyDescent="0.25">
      <c r="A112" s="2" t="s">
        <v>25</v>
      </c>
      <c r="B112" s="1" t="str">
        <f t="shared" ref="B112:B129" si="6">TRIM(A112)</f>
        <v>Retail Trade</v>
      </c>
      <c r="C112" s="2">
        <v>18</v>
      </c>
    </row>
    <row r="113" spans="1:3" x14ac:dyDescent="0.25">
      <c r="A113" s="2" t="s">
        <v>42</v>
      </c>
      <c r="B113" s="1" t="str">
        <f t="shared" si="6"/>
        <v>Arts, Entertainment &amp; Recreation</v>
      </c>
      <c r="C113" s="2">
        <v>17</v>
      </c>
    </row>
    <row r="114" spans="1:3" x14ac:dyDescent="0.25">
      <c r="A114" s="2" t="s">
        <v>6</v>
      </c>
      <c r="B114" s="1" t="str">
        <f t="shared" si="6"/>
        <v>Wholesale Trade</v>
      </c>
      <c r="C114" s="2">
        <v>16</v>
      </c>
    </row>
    <row r="115" spans="1:3" x14ac:dyDescent="0.25">
      <c r="A115" s="2" t="s">
        <v>11</v>
      </c>
      <c r="B115" s="1" t="str">
        <f t="shared" si="6"/>
        <v>Finance &amp; Insurance</v>
      </c>
      <c r="C115" s="2">
        <v>15</v>
      </c>
    </row>
    <row r="116" spans="1:3" x14ac:dyDescent="0.25">
      <c r="A116" s="2" t="s">
        <v>33</v>
      </c>
      <c r="B116" s="1" t="str">
        <f t="shared" si="6"/>
        <v>Mining</v>
      </c>
      <c r="C116" s="2">
        <v>14</v>
      </c>
    </row>
    <row r="117" spans="1:3" x14ac:dyDescent="0.25">
      <c r="A117" s="2" t="s">
        <v>7</v>
      </c>
      <c r="B117" s="1" t="str">
        <f t="shared" si="6"/>
        <v>Construction</v>
      </c>
      <c r="C117" s="2">
        <v>13</v>
      </c>
    </row>
    <row r="118" spans="1:3" x14ac:dyDescent="0.25">
      <c r="A118" s="2" t="s">
        <v>14</v>
      </c>
      <c r="B118" s="1" t="str">
        <f t="shared" si="6"/>
        <v>Real Estate, Rental &amp; Leasing</v>
      </c>
      <c r="C118" s="2">
        <v>12</v>
      </c>
    </row>
    <row r="119" spans="1:3" x14ac:dyDescent="0.25">
      <c r="A119" s="2" t="s">
        <v>3</v>
      </c>
      <c r="B119" s="1" t="str">
        <f t="shared" si="6"/>
        <v>Utilities</v>
      </c>
      <c r="C119" s="2">
        <v>11</v>
      </c>
    </row>
    <row r="120" spans="1:3" x14ac:dyDescent="0.25">
      <c r="A120" s="2" t="s">
        <v>5</v>
      </c>
      <c r="B120" s="1" t="str">
        <f t="shared" si="6"/>
        <v>Transportation &amp; Warehousing</v>
      </c>
      <c r="C120" s="2">
        <v>10</v>
      </c>
    </row>
    <row r="121" spans="1:3" x14ac:dyDescent="0.25">
      <c r="A121" s="2" t="s">
        <v>17</v>
      </c>
      <c r="B121" s="1" t="str">
        <f t="shared" si="6"/>
        <v>Information</v>
      </c>
      <c r="C121" s="2">
        <v>9</v>
      </c>
    </row>
    <row r="122" spans="1:3" x14ac:dyDescent="0.25">
      <c r="A122" s="2" t="s">
        <v>2</v>
      </c>
      <c r="B122" s="1" t="str">
        <f t="shared" si="6"/>
        <v>Health Care &amp; Social Assistance</v>
      </c>
      <c r="C122" s="2">
        <v>8</v>
      </c>
    </row>
    <row r="123" spans="1:3" x14ac:dyDescent="0.25">
      <c r="A123" s="2" t="s">
        <v>9</v>
      </c>
      <c r="B123" s="1" t="str">
        <f t="shared" si="6"/>
        <v>Management of Companies &amp; Support Services</v>
      </c>
      <c r="C123" s="2">
        <v>7</v>
      </c>
    </row>
    <row r="124" spans="1:3" x14ac:dyDescent="0.25">
      <c r="A124" s="2" t="s">
        <v>22</v>
      </c>
      <c r="B124" s="1" t="str">
        <f t="shared" si="6"/>
        <v>Other Services</v>
      </c>
      <c r="C124" s="2">
        <v>6</v>
      </c>
    </row>
    <row r="125" spans="1:3" x14ac:dyDescent="0.25">
      <c r="A125" s="2" t="s">
        <v>12</v>
      </c>
      <c r="B125" s="1" t="str">
        <f t="shared" si="6"/>
        <v>Educational Services</v>
      </c>
      <c r="C125" s="2">
        <v>5</v>
      </c>
    </row>
    <row r="126" spans="1:3" x14ac:dyDescent="0.25">
      <c r="A126" s="2" t="s">
        <v>4</v>
      </c>
      <c r="B126" s="1" t="str">
        <f t="shared" si="6"/>
        <v>Accommodation &amp; Food Services</v>
      </c>
      <c r="C126" s="2">
        <v>4</v>
      </c>
    </row>
    <row r="127" spans="1:3" x14ac:dyDescent="0.25">
      <c r="A127" s="2" t="s">
        <v>13</v>
      </c>
      <c r="B127" s="1" t="str">
        <f t="shared" si="6"/>
        <v>Agriculture, Forestry, Fishing &amp; Hunting</v>
      </c>
      <c r="C127" s="2">
        <v>3</v>
      </c>
    </row>
    <row r="128" spans="1:3" x14ac:dyDescent="0.25">
      <c r="A128" s="2" t="s">
        <v>32</v>
      </c>
      <c r="B128" s="1" t="str">
        <f t="shared" si="6"/>
        <v>Professional, Scientific &amp; Technical Services</v>
      </c>
      <c r="C128" s="2">
        <v>2</v>
      </c>
    </row>
    <row r="129" spans="1:3" x14ac:dyDescent="0.25">
      <c r="A129" s="2" t="s">
        <v>34</v>
      </c>
      <c r="B129" s="1" t="str">
        <f t="shared" si="6"/>
        <v>Public Administration</v>
      </c>
      <c r="C129" s="2">
        <v>1</v>
      </c>
    </row>
  </sheetData>
  <mergeCells count="7">
    <mergeCell ref="A111:C111"/>
    <mergeCell ref="A91:C91"/>
    <mergeCell ref="A1:C1"/>
    <mergeCell ref="A21:C21"/>
    <mergeCell ref="A41:C41"/>
    <mergeCell ref="A56:C56"/>
    <mergeCell ref="A76:C76"/>
  </mergeCells>
  <pageMargins left="0.7" right="0.7" top="0.75" bottom="0.75" header="0.51180555555555496" footer="0.51180555555555496"/>
  <pageSetup paperSize="9" firstPageNumber="0" orientation="portrait" horizontalDpi="300" verticalDpi="3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G124"/>
  <sheetViews>
    <sheetView zoomScaleNormal="100" workbookViewId="0">
      <selection activeCell="H14" sqref="H14"/>
    </sheetView>
  </sheetViews>
  <sheetFormatPr defaultRowHeight="15" x14ac:dyDescent="0.25"/>
  <cols>
    <col min="1" max="1" width="43.85546875" bestFit="1" customWidth="1"/>
    <col min="2" max="2" width="43.42578125" bestFit="1" customWidth="1"/>
    <col min="3" max="7" width="8.7109375" customWidth="1"/>
    <col min="9" max="1025" width="8.7109375" customWidth="1"/>
  </cols>
  <sheetData>
    <row r="1" spans="1:7" x14ac:dyDescent="0.25">
      <c r="A1" s="39" t="s">
        <v>0</v>
      </c>
      <c r="B1" s="39"/>
      <c r="C1" s="39"/>
    </row>
    <row r="2" spans="1:7" x14ac:dyDescent="0.25">
      <c r="A2" s="1" t="s">
        <v>1</v>
      </c>
      <c r="B2" s="1" t="str">
        <f t="shared" ref="B2:B19" si="0">TRIM(A2)</f>
        <v>Arts, Entertainment &amp; Recreation</v>
      </c>
      <c r="C2" s="1">
        <v>16</v>
      </c>
      <c r="F2" t="s">
        <v>31</v>
      </c>
      <c r="G2" t="s">
        <v>3926</v>
      </c>
    </row>
    <row r="3" spans="1:7" x14ac:dyDescent="0.25">
      <c r="A3" s="1" t="s">
        <v>22</v>
      </c>
      <c r="B3" s="1" t="str">
        <f t="shared" si="0"/>
        <v>Other Services</v>
      </c>
      <c r="C3" s="1">
        <v>15</v>
      </c>
      <c r="F3" t="s">
        <v>1</v>
      </c>
      <c r="G3" t="s">
        <v>3927</v>
      </c>
    </row>
    <row r="4" spans="1:7" x14ac:dyDescent="0.25">
      <c r="A4" s="1" t="s">
        <v>5</v>
      </c>
      <c r="B4" s="1" t="str">
        <f t="shared" si="0"/>
        <v>Transportation &amp; Warehousing</v>
      </c>
      <c r="C4" s="1">
        <v>14</v>
      </c>
      <c r="F4" t="s">
        <v>20</v>
      </c>
      <c r="G4" t="s">
        <v>3928</v>
      </c>
    </row>
    <row r="5" spans="1:7" x14ac:dyDescent="0.25">
      <c r="A5" s="1" t="s">
        <v>6</v>
      </c>
      <c r="B5" s="1" t="str">
        <f t="shared" si="0"/>
        <v>Wholesale Trade</v>
      </c>
      <c r="C5" s="1">
        <v>13</v>
      </c>
      <c r="F5" t="s">
        <v>27</v>
      </c>
      <c r="G5" t="s">
        <v>3929</v>
      </c>
    </row>
    <row r="6" spans="1:7" x14ac:dyDescent="0.25">
      <c r="A6" s="1" t="s">
        <v>8</v>
      </c>
      <c r="B6" s="1" t="str">
        <f t="shared" si="0"/>
        <v>Retail Trade</v>
      </c>
      <c r="C6" s="1">
        <v>12</v>
      </c>
      <c r="F6" t="s">
        <v>23</v>
      </c>
      <c r="G6" t="s">
        <v>3930</v>
      </c>
    </row>
    <row r="7" spans="1:7" x14ac:dyDescent="0.25">
      <c r="A7" s="1" t="s">
        <v>9</v>
      </c>
      <c r="B7" s="1" t="str">
        <f t="shared" si="0"/>
        <v>Management of Companies &amp; Support Services</v>
      </c>
      <c r="C7" s="1">
        <v>11</v>
      </c>
      <c r="F7" t="s">
        <v>43</v>
      </c>
      <c r="G7" t="s">
        <v>3931</v>
      </c>
    </row>
    <row r="8" spans="1:7" x14ac:dyDescent="0.25">
      <c r="A8" s="1" t="s">
        <v>4</v>
      </c>
      <c r="B8" s="1" t="str">
        <f t="shared" si="0"/>
        <v>Accommodation &amp; Food Services</v>
      </c>
      <c r="C8" s="1">
        <v>10</v>
      </c>
      <c r="F8" t="s">
        <v>28</v>
      </c>
      <c r="G8" t="s">
        <v>3932</v>
      </c>
    </row>
    <row r="9" spans="1:7" x14ac:dyDescent="0.25">
      <c r="A9" s="1" t="s">
        <v>3</v>
      </c>
      <c r="B9" s="1" t="str">
        <f t="shared" si="0"/>
        <v>Utilities</v>
      </c>
      <c r="C9" s="1">
        <v>9</v>
      </c>
      <c r="F9" t="s">
        <v>25</v>
      </c>
      <c r="G9" t="s">
        <v>3933</v>
      </c>
    </row>
    <row r="10" spans="1:7" x14ac:dyDescent="0.25">
      <c r="A10" s="1" t="s">
        <v>33</v>
      </c>
      <c r="B10" s="1" t="str">
        <f t="shared" si="0"/>
        <v>Mining</v>
      </c>
      <c r="C10" s="1">
        <v>8</v>
      </c>
      <c r="F10" t="s">
        <v>38</v>
      </c>
      <c r="G10" t="s">
        <v>3934</v>
      </c>
    </row>
    <row r="11" spans="1:7" x14ac:dyDescent="0.25">
      <c r="A11" s="1" t="s">
        <v>7</v>
      </c>
      <c r="B11" s="1" t="str">
        <f t="shared" si="0"/>
        <v>Construction</v>
      </c>
      <c r="C11" s="1">
        <v>7</v>
      </c>
      <c r="F11" t="s">
        <v>36</v>
      </c>
      <c r="G11" t="s">
        <v>3935</v>
      </c>
    </row>
    <row r="12" spans="1:7" x14ac:dyDescent="0.25">
      <c r="A12" s="1" t="s">
        <v>2</v>
      </c>
      <c r="B12" s="1" t="str">
        <f t="shared" si="0"/>
        <v>Health Care &amp; Social Assistance</v>
      </c>
      <c r="C12" s="1">
        <v>6</v>
      </c>
      <c r="F12" t="s">
        <v>16</v>
      </c>
      <c r="G12" t="s">
        <v>3936</v>
      </c>
    </row>
    <row r="13" spans="1:7" x14ac:dyDescent="0.25">
      <c r="A13" s="1" t="s">
        <v>10</v>
      </c>
      <c r="B13" s="1" t="str">
        <f t="shared" si="0"/>
        <v>Public Administration</v>
      </c>
      <c r="C13" s="1">
        <v>5</v>
      </c>
    </row>
    <row r="14" spans="1:7" x14ac:dyDescent="0.25">
      <c r="A14" s="1" t="s">
        <v>17</v>
      </c>
      <c r="B14" s="1" t="str">
        <f t="shared" si="0"/>
        <v>Information</v>
      </c>
      <c r="C14" s="1">
        <v>4</v>
      </c>
    </row>
    <row r="15" spans="1:7" x14ac:dyDescent="0.25">
      <c r="A15" s="1" t="s">
        <v>11</v>
      </c>
      <c r="B15" s="1" t="str">
        <f t="shared" si="0"/>
        <v>Finance &amp; Insurance</v>
      </c>
      <c r="C15" s="1">
        <v>3</v>
      </c>
    </row>
    <row r="16" spans="1:7" x14ac:dyDescent="0.25">
      <c r="A16" s="1" t="s">
        <v>12</v>
      </c>
      <c r="B16" s="1" t="str">
        <f t="shared" si="0"/>
        <v>Educational Services</v>
      </c>
      <c r="C16" s="1">
        <v>2</v>
      </c>
    </row>
    <row r="17" spans="1:3" x14ac:dyDescent="0.25">
      <c r="A17" s="1" t="s">
        <v>44</v>
      </c>
      <c r="B17" s="1" t="str">
        <f t="shared" si="0"/>
        <v>Professional, Scientific &amp; Technical Services</v>
      </c>
      <c r="C17" s="1">
        <v>1</v>
      </c>
    </row>
    <row r="18" spans="1:3" x14ac:dyDescent="0.25">
      <c r="A18" s="1" t="s">
        <v>29</v>
      </c>
      <c r="B18" s="1" t="str">
        <f t="shared" si="0"/>
        <v>Real Estate, Rental &amp; Leasing</v>
      </c>
      <c r="C18" s="1">
        <v>-2</v>
      </c>
    </row>
    <row r="19" spans="1:3" x14ac:dyDescent="0.25">
      <c r="A19" s="1" t="s">
        <v>35</v>
      </c>
      <c r="B19" s="1" t="str">
        <f t="shared" si="0"/>
        <v>Agriculture, Forestry, Fishing &amp; Hunting</v>
      </c>
      <c r="C19" s="1">
        <v>-1</v>
      </c>
    </row>
    <row r="21" spans="1:3" x14ac:dyDescent="0.25">
      <c r="A21" s="39" t="s">
        <v>19</v>
      </c>
      <c r="B21" s="39"/>
      <c r="C21" s="39"/>
    </row>
    <row r="22" spans="1:3" x14ac:dyDescent="0.25">
      <c r="A22" s="1" t="s">
        <v>1</v>
      </c>
      <c r="B22" s="1" t="str">
        <f t="shared" ref="B22:B38" si="1">TRIM(A22)</f>
        <v>Arts, Entertainment &amp; Recreation</v>
      </c>
      <c r="C22" s="1">
        <v>16</v>
      </c>
    </row>
    <row r="23" spans="1:3" x14ac:dyDescent="0.25">
      <c r="A23" s="1" t="s">
        <v>9</v>
      </c>
      <c r="B23" s="1" t="str">
        <f t="shared" si="1"/>
        <v>Management of Companies &amp; Support Services</v>
      </c>
      <c r="C23" s="1">
        <v>15</v>
      </c>
    </row>
    <row r="24" spans="1:3" x14ac:dyDescent="0.25">
      <c r="A24" s="1" t="s">
        <v>5</v>
      </c>
      <c r="B24" s="1" t="str">
        <f t="shared" si="1"/>
        <v>Transportation &amp; Warehousing</v>
      </c>
      <c r="C24" s="1">
        <v>14</v>
      </c>
    </row>
    <row r="25" spans="1:3" x14ac:dyDescent="0.25">
      <c r="A25" s="1" t="s">
        <v>22</v>
      </c>
      <c r="B25" s="1" t="str">
        <f t="shared" si="1"/>
        <v>Other Services</v>
      </c>
      <c r="C25" s="1">
        <v>13</v>
      </c>
    </row>
    <row r="26" spans="1:3" x14ac:dyDescent="0.25">
      <c r="A26" s="1" t="s">
        <v>6</v>
      </c>
      <c r="B26" s="1" t="str">
        <f t="shared" si="1"/>
        <v>Wholesale Trade</v>
      </c>
      <c r="C26" s="1">
        <v>12</v>
      </c>
    </row>
    <row r="27" spans="1:3" x14ac:dyDescent="0.25">
      <c r="A27" s="1" t="s">
        <v>8</v>
      </c>
      <c r="B27" s="1" t="str">
        <f t="shared" si="1"/>
        <v>Retail Trade</v>
      </c>
      <c r="C27" s="1">
        <v>11</v>
      </c>
    </row>
    <row r="28" spans="1:3" x14ac:dyDescent="0.25">
      <c r="A28" s="1" t="s">
        <v>4</v>
      </c>
      <c r="B28" s="1" t="str">
        <f t="shared" si="1"/>
        <v>Accommodation &amp; Food Services</v>
      </c>
      <c r="C28" s="1">
        <v>10</v>
      </c>
    </row>
    <row r="29" spans="1:3" x14ac:dyDescent="0.25">
      <c r="A29" s="1" t="s">
        <v>33</v>
      </c>
      <c r="B29" s="1" t="str">
        <f t="shared" si="1"/>
        <v>Mining</v>
      </c>
      <c r="C29" s="1">
        <v>9</v>
      </c>
    </row>
    <row r="30" spans="1:3" x14ac:dyDescent="0.25">
      <c r="A30" s="1" t="s">
        <v>3</v>
      </c>
      <c r="B30" s="1" t="str">
        <f t="shared" si="1"/>
        <v>Utilities</v>
      </c>
      <c r="C30" s="1">
        <v>8</v>
      </c>
    </row>
    <row r="31" spans="1:3" x14ac:dyDescent="0.25">
      <c r="A31" s="1" t="s">
        <v>2</v>
      </c>
      <c r="B31" s="1" t="str">
        <f t="shared" si="1"/>
        <v>Health Care &amp; Social Assistance</v>
      </c>
      <c r="C31" s="1">
        <v>7</v>
      </c>
    </row>
    <row r="32" spans="1:3" x14ac:dyDescent="0.25">
      <c r="A32" s="1" t="s">
        <v>17</v>
      </c>
      <c r="B32" s="1" t="str">
        <f t="shared" si="1"/>
        <v>Information</v>
      </c>
      <c r="C32" s="1">
        <v>6</v>
      </c>
    </row>
    <row r="33" spans="1:3" x14ac:dyDescent="0.25">
      <c r="A33" s="1" t="s">
        <v>11</v>
      </c>
      <c r="B33" s="1" t="str">
        <f t="shared" si="1"/>
        <v>Finance &amp; Insurance</v>
      </c>
      <c r="C33" s="1">
        <v>5</v>
      </c>
    </row>
    <row r="34" spans="1:3" x14ac:dyDescent="0.25">
      <c r="A34" s="1" t="s">
        <v>10</v>
      </c>
      <c r="B34" s="1" t="str">
        <f t="shared" si="1"/>
        <v>Public Administration</v>
      </c>
      <c r="C34" s="1">
        <v>4</v>
      </c>
    </row>
    <row r="35" spans="1:3" x14ac:dyDescent="0.25">
      <c r="A35" s="1" t="s">
        <v>12</v>
      </c>
      <c r="B35" s="1" t="str">
        <f t="shared" si="1"/>
        <v>Educational Services</v>
      </c>
      <c r="C35" s="1">
        <v>3</v>
      </c>
    </row>
    <row r="36" spans="1:3" x14ac:dyDescent="0.25">
      <c r="A36" s="1" t="s">
        <v>32</v>
      </c>
      <c r="B36" s="1" t="str">
        <f t="shared" si="1"/>
        <v>Professional, Scientific &amp; Technical Services</v>
      </c>
      <c r="C36" s="1">
        <v>2</v>
      </c>
    </row>
    <row r="37" spans="1:3" x14ac:dyDescent="0.25">
      <c r="A37" s="1" t="s">
        <v>20</v>
      </c>
      <c r="B37" s="1" t="str">
        <f t="shared" si="1"/>
        <v>Construction</v>
      </c>
      <c r="C37" s="1">
        <v>1</v>
      </c>
    </row>
    <row r="38" spans="1:3" x14ac:dyDescent="0.25">
      <c r="A38" s="1" t="s">
        <v>35</v>
      </c>
      <c r="B38" s="1" t="str">
        <f t="shared" si="1"/>
        <v>Agriculture, Forestry, Fishing &amp; Hunting</v>
      </c>
      <c r="C38" s="1">
        <v>-1</v>
      </c>
    </row>
    <row r="40" spans="1:3" x14ac:dyDescent="0.25">
      <c r="A40" s="39" t="s">
        <v>21</v>
      </c>
      <c r="B40" s="39"/>
      <c r="C40" s="39"/>
    </row>
    <row r="41" spans="1:3" x14ac:dyDescent="0.25">
      <c r="A41" s="6" t="s">
        <v>1</v>
      </c>
      <c r="B41" s="1" t="str">
        <f t="shared" ref="B41:B54" si="2">TRIM(A41)</f>
        <v>Arts, Entertainment &amp; Recreation</v>
      </c>
      <c r="C41" s="1">
        <v>12</v>
      </c>
    </row>
    <row r="42" spans="1:3" x14ac:dyDescent="0.25">
      <c r="A42" s="1" t="s">
        <v>8</v>
      </c>
      <c r="B42" s="1" t="str">
        <f t="shared" si="2"/>
        <v>Retail Trade</v>
      </c>
      <c r="C42" s="1">
        <v>11</v>
      </c>
    </row>
    <row r="43" spans="1:3" x14ac:dyDescent="0.25">
      <c r="A43" s="1" t="s">
        <v>5</v>
      </c>
      <c r="B43" s="1" t="str">
        <f t="shared" si="2"/>
        <v>Transportation &amp; Warehousing</v>
      </c>
      <c r="C43" s="1">
        <v>10</v>
      </c>
    </row>
    <row r="44" spans="1:3" x14ac:dyDescent="0.25">
      <c r="A44" s="1" t="s">
        <v>22</v>
      </c>
      <c r="B44" s="1" t="str">
        <f t="shared" si="2"/>
        <v>Other Services</v>
      </c>
      <c r="C44" s="1">
        <v>9</v>
      </c>
    </row>
    <row r="45" spans="1:3" x14ac:dyDescent="0.25">
      <c r="A45" s="1" t="s">
        <v>3</v>
      </c>
      <c r="B45" s="1" t="str">
        <f t="shared" si="2"/>
        <v>Utilities</v>
      </c>
      <c r="C45" s="1">
        <v>8</v>
      </c>
    </row>
    <row r="46" spans="1:3" x14ac:dyDescent="0.25">
      <c r="A46" s="1" t="s">
        <v>11</v>
      </c>
      <c r="B46" s="1" t="str">
        <f t="shared" si="2"/>
        <v>Finance &amp; Insurance</v>
      </c>
      <c r="C46" s="1">
        <v>7</v>
      </c>
    </row>
    <row r="47" spans="1:3" x14ac:dyDescent="0.25">
      <c r="A47" s="1" t="s">
        <v>33</v>
      </c>
      <c r="B47" s="1" t="str">
        <f t="shared" si="2"/>
        <v>Mining</v>
      </c>
      <c r="C47" s="1">
        <v>6</v>
      </c>
    </row>
    <row r="48" spans="1:3" x14ac:dyDescent="0.25">
      <c r="A48" s="1" t="s">
        <v>10</v>
      </c>
      <c r="B48" s="1" t="str">
        <f t="shared" si="2"/>
        <v>Public Administration</v>
      </c>
      <c r="C48" s="1">
        <v>5</v>
      </c>
    </row>
    <row r="49" spans="1:3" x14ac:dyDescent="0.25">
      <c r="A49" s="1" t="s">
        <v>6</v>
      </c>
      <c r="B49" s="1" t="str">
        <f t="shared" si="2"/>
        <v>Wholesale Trade</v>
      </c>
      <c r="C49" s="1">
        <v>4</v>
      </c>
    </row>
    <row r="50" spans="1:3" x14ac:dyDescent="0.25">
      <c r="A50" s="1" t="s">
        <v>2</v>
      </c>
      <c r="B50" s="1" t="str">
        <f t="shared" si="2"/>
        <v>Health Care &amp; Social Assistance</v>
      </c>
      <c r="C50" s="1">
        <v>3</v>
      </c>
    </row>
    <row r="51" spans="1:3" x14ac:dyDescent="0.25">
      <c r="A51" s="1" t="s">
        <v>32</v>
      </c>
      <c r="B51" s="1" t="str">
        <f t="shared" si="2"/>
        <v>Professional, Scientific &amp; Technical Services</v>
      </c>
      <c r="C51" s="1">
        <v>2</v>
      </c>
    </row>
    <row r="52" spans="1:3" x14ac:dyDescent="0.25">
      <c r="A52" s="1" t="s">
        <v>20</v>
      </c>
      <c r="B52" s="1" t="str">
        <f t="shared" si="2"/>
        <v>Construction</v>
      </c>
      <c r="C52" s="1">
        <v>1</v>
      </c>
    </row>
    <row r="53" spans="1:3" x14ac:dyDescent="0.25">
      <c r="A53" s="1" t="s">
        <v>14</v>
      </c>
      <c r="B53" s="1" t="str">
        <f t="shared" si="2"/>
        <v>Real Estate, Rental &amp; Leasing</v>
      </c>
      <c r="C53" s="1">
        <v>-2</v>
      </c>
    </row>
    <row r="54" spans="1:3" x14ac:dyDescent="0.25">
      <c r="A54" s="1" t="s">
        <v>27</v>
      </c>
      <c r="B54" s="1" t="str">
        <f t="shared" si="2"/>
        <v>Educational Services</v>
      </c>
      <c r="C54" s="1">
        <v>-1</v>
      </c>
    </row>
    <row r="56" spans="1:3" x14ac:dyDescent="0.25">
      <c r="A56" s="39" t="s">
        <v>24</v>
      </c>
      <c r="B56" s="39"/>
      <c r="C56" s="39"/>
    </row>
    <row r="57" spans="1:3" x14ac:dyDescent="0.25">
      <c r="A57" s="1" t="s">
        <v>31</v>
      </c>
      <c r="B57" s="1" t="str">
        <f t="shared" ref="B57:B73" si="3">TRIM(A57)</f>
        <v>Accommodation &amp; Food Services</v>
      </c>
      <c r="C57" s="1">
        <v>-17</v>
      </c>
    </row>
    <row r="58" spans="1:3" x14ac:dyDescent="0.25">
      <c r="A58" s="1" t="s">
        <v>6</v>
      </c>
      <c r="B58" s="1" t="str">
        <f t="shared" si="3"/>
        <v>Wholesale Trade</v>
      </c>
      <c r="C58" s="1">
        <v>-16</v>
      </c>
    </row>
    <row r="59" spans="1:3" x14ac:dyDescent="0.25">
      <c r="A59" s="1" t="s">
        <v>7</v>
      </c>
      <c r="B59" s="1" t="str">
        <f t="shared" si="3"/>
        <v>Construction</v>
      </c>
      <c r="C59" s="1">
        <v>-15</v>
      </c>
    </row>
    <row r="60" spans="1:3" x14ac:dyDescent="0.25">
      <c r="A60" s="1" t="s">
        <v>22</v>
      </c>
      <c r="B60" s="1" t="str">
        <f t="shared" si="3"/>
        <v>Other Services</v>
      </c>
      <c r="C60" s="1">
        <v>-14</v>
      </c>
    </row>
    <row r="61" spans="1:3" x14ac:dyDescent="0.25">
      <c r="A61" s="1" t="s">
        <v>14</v>
      </c>
      <c r="B61" s="1" t="str">
        <f t="shared" si="3"/>
        <v>Real Estate, Rental &amp; Leasing</v>
      </c>
      <c r="C61" s="1">
        <v>-13</v>
      </c>
    </row>
    <row r="62" spans="1:3" x14ac:dyDescent="0.25">
      <c r="A62" s="1" t="s">
        <v>12</v>
      </c>
      <c r="B62" s="1" t="str">
        <f t="shared" si="3"/>
        <v>Educational Services</v>
      </c>
      <c r="C62" s="1">
        <v>-12</v>
      </c>
    </row>
    <row r="63" spans="1:3" x14ac:dyDescent="0.25">
      <c r="A63" s="1" t="s">
        <v>8</v>
      </c>
      <c r="B63" s="1" t="str">
        <f t="shared" si="3"/>
        <v>Retail Trade</v>
      </c>
      <c r="C63" s="1">
        <v>-11</v>
      </c>
    </row>
    <row r="64" spans="1:3" x14ac:dyDescent="0.25">
      <c r="A64" s="1" t="s">
        <v>33</v>
      </c>
      <c r="B64" s="1" t="str">
        <f t="shared" si="3"/>
        <v>Mining</v>
      </c>
      <c r="C64" s="1">
        <v>-10</v>
      </c>
    </row>
    <row r="65" spans="1:3" x14ac:dyDescent="0.25">
      <c r="A65" s="1" t="s">
        <v>5</v>
      </c>
      <c r="B65" s="1" t="str">
        <f t="shared" si="3"/>
        <v>Transportation &amp; Warehousing</v>
      </c>
      <c r="C65" s="1">
        <v>-9</v>
      </c>
    </row>
    <row r="66" spans="1:3" x14ac:dyDescent="0.25">
      <c r="A66" s="1" t="s">
        <v>3</v>
      </c>
      <c r="B66" s="1" t="str">
        <f t="shared" si="3"/>
        <v>Utilities</v>
      </c>
      <c r="C66" s="1">
        <v>-8</v>
      </c>
    </row>
    <row r="67" spans="1:3" x14ac:dyDescent="0.25">
      <c r="A67" s="1" t="s">
        <v>13</v>
      </c>
      <c r="B67" s="1" t="str">
        <f t="shared" si="3"/>
        <v>Agriculture, Forestry, Fishing &amp; Hunting</v>
      </c>
      <c r="C67" s="1">
        <v>-7</v>
      </c>
    </row>
    <row r="68" spans="1:3" x14ac:dyDescent="0.25">
      <c r="A68" s="1" t="s">
        <v>9</v>
      </c>
      <c r="B68" s="1" t="str">
        <f t="shared" si="3"/>
        <v>Management of Companies &amp; Support Services</v>
      </c>
      <c r="C68" s="1">
        <v>-6</v>
      </c>
    </row>
    <row r="69" spans="1:3" x14ac:dyDescent="0.25">
      <c r="A69" s="1" t="s">
        <v>2</v>
      </c>
      <c r="B69" s="1" t="str">
        <f t="shared" si="3"/>
        <v>Health Care &amp; Social Assistance</v>
      </c>
      <c r="C69" s="1">
        <v>-5</v>
      </c>
    </row>
    <row r="70" spans="1:3" x14ac:dyDescent="0.25">
      <c r="A70" s="1" t="s">
        <v>10</v>
      </c>
      <c r="B70" s="1" t="str">
        <f t="shared" si="3"/>
        <v>Public Administration</v>
      </c>
      <c r="C70" s="1">
        <v>-4</v>
      </c>
    </row>
    <row r="71" spans="1:3" x14ac:dyDescent="0.25">
      <c r="A71" s="1" t="s">
        <v>32</v>
      </c>
      <c r="B71" s="1" t="str">
        <f t="shared" si="3"/>
        <v>Professional, Scientific &amp; Technical Services</v>
      </c>
      <c r="C71" s="1">
        <v>-3</v>
      </c>
    </row>
    <row r="72" spans="1:3" x14ac:dyDescent="0.25">
      <c r="A72" s="1" t="s">
        <v>17</v>
      </c>
      <c r="B72" s="1" t="str">
        <f t="shared" si="3"/>
        <v>Information</v>
      </c>
      <c r="C72" s="1">
        <v>-2</v>
      </c>
    </row>
    <row r="73" spans="1:3" x14ac:dyDescent="0.25">
      <c r="A73" s="1" t="s">
        <v>23</v>
      </c>
      <c r="B73" s="1" t="str">
        <f t="shared" si="3"/>
        <v>Finance &amp; Insurance</v>
      </c>
      <c r="C73" s="1">
        <v>-1</v>
      </c>
    </row>
    <row r="75" spans="1:3" x14ac:dyDescent="0.25">
      <c r="A75" s="39" t="s">
        <v>26</v>
      </c>
      <c r="B75" s="39"/>
      <c r="C75" s="39"/>
    </row>
    <row r="76" spans="1:3" x14ac:dyDescent="0.25">
      <c r="A76" s="1" t="s">
        <v>1</v>
      </c>
      <c r="B76" s="1" t="str">
        <f t="shared" ref="B76:B84" si="4">TRIM(A76)</f>
        <v>Arts, Entertainment &amp; Recreation</v>
      </c>
      <c r="C76" s="1">
        <v>5</v>
      </c>
    </row>
    <row r="77" spans="1:3" x14ac:dyDescent="0.25">
      <c r="A77" s="1" t="s">
        <v>6</v>
      </c>
      <c r="B77" s="1" t="str">
        <f t="shared" si="4"/>
        <v>Wholesale Trade</v>
      </c>
      <c r="C77" s="1">
        <v>4</v>
      </c>
    </row>
    <row r="78" spans="1:3" x14ac:dyDescent="0.25">
      <c r="A78" s="1" t="s">
        <v>3</v>
      </c>
      <c r="B78" s="1" t="str">
        <f t="shared" si="4"/>
        <v>Utilities</v>
      </c>
      <c r="C78" s="1">
        <v>3</v>
      </c>
    </row>
    <row r="79" spans="1:3" x14ac:dyDescent="0.25">
      <c r="A79" s="1" t="s">
        <v>5</v>
      </c>
      <c r="B79" s="1" t="str">
        <f t="shared" si="4"/>
        <v>Transportation &amp; Warehousing</v>
      </c>
      <c r="C79" s="1">
        <v>2</v>
      </c>
    </row>
    <row r="80" spans="1:3" x14ac:dyDescent="0.25">
      <c r="A80" s="1" t="s">
        <v>15</v>
      </c>
      <c r="B80" s="1" t="str">
        <f t="shared" si="4"/>
        <v>Professional, Scientific &amp; Technical Services</v>
      </c>
      <c r="C80" s="1">
        <v>1</v>
      </c>
    </row>
    <row r="81" spans="1:3" x14ac:dyDescent="0.25">
      <c r="A81" s="1" t="s">
        <v>41</v>
      </c>
      <c r="B81" s="1" t="str">
        <f t="shared" si="4"/>
        <v>Management of Companies &amp; Support Services</v>
      </c>
      <c r="C81" s="1">
        <v>-4</v>
      </c>
    </row>
    <row r="82" spans="1:3" x14ac:dyDescent="0.25">
      <c r="A82" s="1" t="s">
        <v>10</v>
      </c>
      <c r="B82" s="1" t="str">
        <f t="shared" si="4"/>
        <v>Public Administration</v>
      </c>
      <c r="C82" s="1">
        <v>-3</v>
      </c>
    </row>
    <row r="83" spans="1:3" x14ac:dyDescent="0.25">
      <c r="A83" s="1" t="s">
        <v>2</v>
      </c>
      <c r="B83" s="1" t="str">
        <f t="shared" si="4"/>
        <v>Health Care &amp; Social Assistance</v>
      </c>
      <c r="C83" s="1">
        <v>-2</v>
      </c>
    </row>
    <row r="84" spans="1:3" x14ac:dyDescent="0.25">
      <c r="A84" s="1" t="s">
        <v>20</v>
      </c>
      <c r="B84" s="1" t="str">
        <f t="shared" si="4"/>
        <v>Construction</v>
      </c>
      <c r="C84" s="1">
        <v>-1</v>
      </c>
    </row>
    <row r="86" spans="1:3" x14ac:dyDescent="0.25">
      <c r="A86" s="39" t="s">
        <v>30</v>
      </c>
      <c r="B86" s="39"/>
      <c r="C86" s="39"/>
    </row>
    <row r="87" spans="1:3" x14ac:dyDescent="0.25">
      <c r="A87" s="6" t="s">
        <v>1</v>
      </c>
      <c r="B87" s="1" t="str">
        <f t="shared" ref="B87:B104" si="5">TRIM(A87)</f>
        <v>Arts, Entertainment &amp; Recreation</v>
      </c>
      <c r="C87" s="1">
        <v>17</v>
      </c>
    </row>
    <row r="88" spans="1:3" x14ac:dyDescent="0.25">
      <c r="A88" s="1" t="s">
        <v>14</v>
      </c>
      <c r="B88" s="1" t="str">
        <f t="shared" si="5"/>
        <v>Real Estate, Rental &amp; Leasing</v>
      </c>
      <c r="C88" s="1">
        <v>16</v>
      </c>
    </row>
    <row r="89" spans="1:3" x14ac:dyDescent="0.25">
      <c r="A89" s="1" t="s">
        <v>7</v>
      </c>
      <c r="B89" s="1" t="str">
        <f t="shared" si="5"/>
        <v>Construction</v>
      </c>
      <c r="C89" s="1">
        <v>15</v>
      </c>
    </row>
    <row r="90" spans="1:3" x14ac:dyDescent="0.25">
      <c r="A90" s="1" t="s">
        <v>4</v>
      </c>
      <c r="B90" s="1" t="str">
        <f t="shared" si="5"/>
        <v>Accommodation &amp; Food Services</v>
      </c>
      <c r="C90" s="1">
        <v>14</v>
      </c>
    </row>
    <row r="91" spans="1:3" x14ac:dyDescent="0.25">
      <c r="A91" s="1" t="s">
        <v>6</v>
      </c>
      <c r="B91" s="1" t="str">
        <f t="shared" si="5"/>
        <v>Wholesale Trade</v>
      </c>
      <c r="C91" s="1">
        <v>13</v>
      </c>
    </row>
    <row r="92" spans="1:3" x14ac:dyDescent="0.25">
      <c r="A92" s="1" t="s">
        <v>3</v>
      </c>
      <c r="B92" s="1" t="str">
        <f t="shared" si="5"/>
        <v>Utilities</v>
      </c>
      <c r="C92" s="1">
        <v>12</v>
      </c>
    </row>
    <row r="93" spans="1:3" x14ac:dyDescent="0.25">
      <c r="A93" s="1" t="s">
        <v>5</v>
      </c>
      <c r="B93" s="1" t="str">
        <f t="shared" si="5"/>
        <v>Transportation &amp; Warehousing</v>
      </c>
      <c r="C93" s="1">
        <v>11</v>
      </c>
    </row>
    <row r="94" spans="1:3" x14ac:dyDescent="0.25">
      <c r="A94" s="1" t="s">
        <v>33</v>
      </c>
      <c r="B94" s="1" t="str">
        <f t="shared" si="5"/>
        <v>Mining</v>
      </c>
      <c r="C94" s="1">
        <v>10</v>
      </c>
    </row>
    <row r="95" spans="1:3" x14ac:dyDescent="0.25">
      <c r="A95" s="1" t="s">
        <v>12</v>
      </c>
      <c r="B95" s="1" t="str">
        <f t="shared" si="5"/>
        <v>Educational Services</v>
      </c>
      <c r="C95" s="1">
        <v>9</v>
      </c>
    </row>
    <row r="96" spans="1:3" x14ac:dyDescent="0.25">
      <c r="A96" s="1" t="s">
        <v>11</v>
      </c>
      <c r="B96" s="1" t="str">
        <f t="shared" si="5"/>
        <v>Finance &amp; Insurance</v>
      </c>
      <c r="C96" s="1">
        <v>8</v>
      </c>
    </row>
    <row r="97" spans="1:3" x14ac:dyDescent="0.25">
      <c r="A97" s="1" t="s">
        <v>9</v>
      </c>
      <c r="B97" s="1" t="str">
        <f t="shared" si="5"/>
        <v>Management of Companies &amp; Support Services</v>
      </c>
      <c r="C97" s="1">
        <v>7</v>
      </c>
    </row>
    <row r="98" spans="1:3" x14ac:dyDescent="0.25">
      <c r="A98" s="1" t="s">
        <v>8</v>
      </c>
      <c r="B98" s="1" t="str">
        <f t="shared" si="5"/>
        <v>Retail Trade</v>
      </c>
      <c r="C98" s="1">
        <v>6</v>
      </c>
    </row>
    <row r="99" spans="1:3" x14ac:dyDescent="0.25">
      <c r="A99" s="1" t="s">
        <v>17</v>
      </c>
      <c r="B99" s="1" t="str">
        <f t="shared" si="5"/>
        <v>Information</v>
      </c>
      <c r="C99" s="1">
        <v>5</v>
      </c>
    </row>
    <row r="100" spans="1:3" x14ac:dyDescent="0.25">
      <c r="A100" s="1" t="s">
        <v>22</v>
      </c>
      <c r="B100" s="1" t="str">
        <f t="shared" si="5"/>
        <v>Other Services</v>
      </c>
      <c r="C100" s="1">
        <v>4</v>
      </c>
    </row>
    <row r="101" spans="1:3" x14ac:dyDescent="0.25">
      <c r="A101" s="1" t="s">
        <v>10</v>
      </c>
      <c r="B101" s="1" t="str">
        <f t="shared" si="5"/>
        <v>Public Administration</v>
      </c>
      <c r="C101" s="1">
        <v>3</v>
      </c>
    </row>
    <row r="102" spans="1:3" x14ac:dyDescent="0.25">
      <c r="A102" s="1" t="s">
        <v>32</v>
      </c>
      <c r="B102" s="1" t="str">
        <f t="shared" si="5"/>
        <v>Professional, Scientific &amp; Technical Services</v>
      </c>
      <c r="C102" s="1">
        <v>2</v>
      </c>
    </row>
    <row r="103" spans="1:3" x14ac:dyDescent="0.25">
      <c r="A103" s="1" t="s">
        <v>43</v>
      </c>
      <c r="B103" s="1" t="str">
        <f t="shared" si="5"/>
        <v>Health Care &amp; Social Assistance</v>
      </c>
      <c r="C103" s="1">
        <v>1</v>
      </c>
    </row>
    <row r="104" spans="1:3" x14ac:dyDescent="0.25">
      <c r="A104" s="1" t="s">
        <v>35</v>
      </c>
      <c r="B104" s="1" t="str">
        <f t="shared" si="5"/>
        <v>Agriculture, Forestry, Fishing &amp; Hunting</v>
      </c>
      <c r="C104" s="1">
        <v>-1</v>
      </c>
    </row>
    <row r="106" spans="1:3" x14ac:dyDescent="0.25">
      <c r="A106" s="39" t="s">
        <v>3818</v>
      </c>
      <c r="B106" s="39"/>
      <c r="C106" s="39"/>
    </row>
    <row r="107" spans="1:3" x14ac:dyDescent="0.25">
      <c r="A107" s="2" t="s">
        <v>1</v>
      </c>
      <c r="B107" s="1" t="str">
        <f t="shared" ref="B107:B124" si="6">TRIM(A107)</f>
        <v>Arts, Entertainment &amp; Recreation</v>
      </c>
      <c r="C107" s="2">
        <v>16</v>
      </c>
    </row>
    <row r="108" spans="1:3" x14ac:dyDescent="0.25">
      <c r="A108" s="2" t="s">
        <v>22</v>
      </c>
      <c r="B108" s="1" t="str">
        <f t="shared" si="6"/>
        <v>Other Services</v>
      </c>
      <c r="C108" s="2">
        <v>15</v>
      </c>
    </row>
    <row r="109" spans="1:3" x14ac:dyDescent="0.25">
      <c r="A109" s="2" t="s">
        <v>9</v>
      </c>
      <c r="B109" s="1" t="str">
        <f t="shared" si="6"/>
        <v>Management of Companies &amp; Support Services</v>
      </c>
      <c r="C109" s="2">
        <v>14</v>
      </c>
    </row>
    <row r="110" spans="1:3" x14ac:dyDescent="0.25">
      <c r="A110" s="2" t="s">
        <v>3</v>
      </c>
      <c r="B110" s="1" t="str">
        <f t="shared" si="6"/>
        <v>Utilities</v>
      </c>
      <c r="C110" s="2">
        <v>13</v>
      </c>
    </row>
    <row r="111" spans="1:3" x14ac:dyDescent="0.25">
      <c r="A111" s="2" t="s">
        <v>6</v>
      </c>
      <c r="B111" s="1" t="str">
        <f t="shared" si="6"/>
        <v>Wholesale Trade</v>
      </c>
      <c r="C111" s="2">
        <v>12</v>
      </c>
    </row>
    <row r="112" spans="1:3" x14ac:dyDescent="0.25">
      <c r="A112" s="2" t="s">
        <v>5</v>
      </c>
      <c r="B112" s="1" t="str">
        <f t="shared" si="6"/>
        <v>Transportation &amp; Warehousing</v>
      </c>
      <c r="C112" s="2">
        <v>11</v>
      </c>
    </row>
    <row r="113" spans="1:3" x14ac:dyDescent="0.25">
      <c r="A113" s="2" t="s">
        <v>17</v>
      </c>
      <c r="B113" s="1" t="str">
        <f t="shared" si="6"/>
        <v>Information</v>
      </c>
      <c r="C113" s="2">
        <v>10</v>
      </c>
    </row>
    <row r="114" spans="1:3" x14ac:dyDescent="0.25">
      <c r="A114" s="2" t="s">
        <v>8</v>
      </c>
      <c r="B114" s="1" t="str">
        <f t="shared" si="6"/>
        <v>Retail Trade</v>
      </c>
      <c r="C114" s="2">
        <v>9</v>
      </c>
    </row>
    <row r="115" spans="1:3" x14ac:dyDescent="0.25">
      <c r="A115" s="2" t="s">
        <v>7</v>
      </c>
      <c r="B115" s="1" t="str">
        <f t="shared" si="6"/>
        <v>Construction</v>
      </c>
      <c r="C115" s="2">
        <v>8</v>
      </c>
    </row>
    <row r="116" spans="1:3" x14ac:dyDescent="0.25">
      <c r="A116" s="2" t="s">
        <v>10</v>
      </c>
      <c r="B116" s="1" t="str">
        <f t="shared" si="6"/>
        <v>Public Administration</v>
      </c>
      <c r="C116" s="2">
        <v>7</v>
      </c>
    </row>
    <row r="117" spans="1:3" x14ac:dyDescent="0.25">
      <c r="A117" s="2" t="s">
        <v>2</v>
      </c>
      <c r="B117" s="1" t="str">
        <f t="shared" si="6"/>
        <v>Health Care &amp; Social Assistance</v>
      </c>
      <c r="C117" s="2">
        <v>6</v>
      </c>
    </row>
    <row r="118" spans="1:3" x14ac:dyDescent="0.25">
      <c r="A118" s="2" t="s">
        <v>11</v>
      </c>
      <c r="B118" s="1" t="str">
        <f t="shared" si="6"/>
        <v>Finance &amp; Insurance</v>
      </c>
      <c r="C118" s="2">
        <v>5</v>
      </c>
    </row>
    <row r="119" spans="1:3" x14ac:dyDescent="0.25">
      <c r="A119" s="2" t="s">
        <v>4</v>
      </c>
      <c r="B119" s="1" t="str">
        <f t="shared" si="6"/>
        <v>Accommodation &amp; Food Services</v>
      </c>
      <c r="C119" s="2">
        <v>4</v>
      </c>
    </row>
    <row r="120" spans="1:3" x14ac:dyDescent="0.25">
      <c r="A120" s="2" t="s">
        <v>33</v>
      </c>
      <c r="B120" s="1" t="str">
        <f t="shared" si="6"/>
        <v>Mining</v>
      </c>
      <c r="C120" s="2">
        <v>3</v>
      </c>
    </row>
    <row r="121" spans="1:3" x14ac:dyDescent="0.25">
      <c r="A121" s="2" t="s">
        <v>12</v>
      </c>
      <c r="B121" s="1" t="str">
        <f t="shared" si="6"/>
        <v>Educational Services</v>
      </c>
      <c r="C121" s="2">
        <v>2</v>
      </c>
    </row>
    <row r="122" spans="1:3" x14ac:dyDescent="0.25">
      <c r="A122" s="2" t="s">
        <v>15</v>
      </c>
      <c r="B122" s="1" t="str">
        <f t="shared" si="6"/>
        <v>Professional, Scientific &amp; Technical Services</v>
      </c>
      <c r="C122" s="2">
        <v>1</v>
      </c>
    </row>
    <row r="123" spans="1:3" x14ac:dyDescent="0.25">
      <c r="A123" s="2" t="s">
        <v>29</v>
      </c>
      <c r="B123" s="1" t="str">
        <f t="shared" si="6"/>
        <v>Real Estate, Rental &amp; Leasing</v>
      </c>
      <c r="C123" s="2">
        <v>-2</v>
      </c>
    </row>
    <row r="124" spans="1:3" x14ac:dyDescent="0.25">
      <c r="A124" s="2" t="s">
        <v>35</v>
      </c>
      <c r="B124" s="1" t="str">
        <f t="shared" si="6"/>
        <v>Agriculture, Forestry, Fishing &amp; Hunting</v>
      </c>
      <c r="C124" s="2">
        <v>-1</v>
      </c>
    </row>
  </sheetData>
  <mergeCells count="7">
    <mergeCell ref="A106:C106"/>
    <mergeCell ref="A86:C86"/>
    <mergeCell ref="A1:C1"/>
    <mergeCell ref="A21:C21"/>
    <mergeCell ref="A40:C40"/>
    <mergeCell ref="A56:C56"/>
    <mergeCell ref="A75:C75"/>
  </mergeCells>
  <pageMargins left="0.7" right="0.7" top="0.75" bottom="0.75" header="0.51180555555555496" footer="0.51180555555555496"/>
  <pageSetup paperSize="9" firstPageNumber="0"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G129"/>
  <sheetViews>
    <sheetView zoomScaleNormal="100" workbookViewId="0">
      <selection activeCell="F1" sqref="F1:F1048576"/>
    </sheetView>
  </sheetViews>
  <sheetFormatPr defaultRowHeight="15" x14ac:dyDescent="0.25"/>
  <cols>
    <col min="1" max="1" width="43.85546875" customWidth="1"/>
    <col min="2" max="2" width="43.42578125" customWidth="1"/>
    <col min="3" max="7" width="8.7109375" customWidth="1"/>
    <col min="9" max="1025" width="8.7109375" customWidth="1"/>
  </cols>
  <sheetData>
    <row r="1" spans="1:7" x14ac:dyDescent="0.25">
      <c r="A1" s="39" t="s">
        <v>0</v>
      </c>
      <c r="B1" s="39"/>
      <c r="C1" s="39"/>
    </row>
    <row r="2" spans="1:7" x14ac:dyDescent="0.25">
      <c r="A2" s="1" t="s">
        <v>1</v>
      </c>
      <c r="B2" s="1" t="str">
        <f t="shared" ref="B2:B18" si="0">TRIM(A2)</f>
        <v>Arts, Entertainment &amp; Recreation</v>
      </c>
      <c r="C2" s="1">
        <v>17</v>
      </c>
    </row>
    <row r="3" spans="1:7" x14ac:dyDescent="0.25">
      <c r="A3" s="1" t="s">
        <v>6</v>
      </c>
      <c r="B3" s="1" t="str">
        <f t="shared" si="0"/>
        <v>Wholesale Trade</v>
      </c>
      <c r="C3" s="1">
        <v>16</v>
      </c>
    </row>
    <row r="4" spans="1:7" x14ac:dyDescent="0.25">
      <c r="A4" s="1" t="s">
        <v>4</v>
      </c>
      <c r="B4" s="1" t="str">
        <f t="shared" si="0"/>
        <v>Accommodation &amp; Food Services</v>
      </c>
      <c r="C4" s="1">
        <v>15</v>
      </c>
    </row>
    <row r="5" spans="1:7" x14ac:dyDescent="0.25">
      <c r="A5" s="1" t="s">
        <v>9</v>
      </c>
      <c r="B5" s="1" t="str">
        <f t="shared" si="0"/>
        <v>Management of Companies &amp; Support Services</v>
      </c>
      <c r="C5" s="1">
        <v>14</v>
      </c>
    </row>
    <row r="6" spans="1:7" x14ac:dyDescent="0.25">
      <c r="A6" s="1" t="s">
        <v>8</v>
      </c>
      <c r="B6" s="1" t="str">
        <f t="shared" si="0"/>
        <v>Retail Trade</v>
      </c>
      <c r="C6" s="1">
        <v>13</v>
      </c>
    </row>
    <row r="7" spans="1:7" x14ac:dyDescent="0.25">
      <c r="A7" s="1" t="s">
        <v>14</v>
      </c>
      <c r="B7" s="1" t="str">
        <f t="shared" si="0"/>
        <v>Real Estate, Rental &amp; Leasing</v>
      </c>
      <c r="C7" s="1">
        <v>12</v>
      </c>
    </row>
    <row r="8" spans="1:7" x14ac:dyDescent="0.25">
      <c r="A8" s="1" t="s">
        <v>5</v>
      </c>
      <c r="B8" s="1" t="str">
        <f t="shared" si="0"/>
        <v>Transportation &amp; Warehousing</v>
      </c>
      <c r="C8" s="1">
        <v>11</v>
      </c>
      <c r="F8" t="s">
        <v>31</v>
      </c>
      <c r="G8" t="s">
        <v>3916</v>
      </c>
    </row>
    <row r="9" spans="1:7" x14ac:dyDescent="0.25">
      <c r="A9" s="1" t="s">
        <v>17</v>
      </c>
      <c r="B9" s="1" t="str">
        <f t="shared" si="0"/>
        <v>Information</v>
      </c>
      <c r="C9" s="1">
        <v>10</v>
      </c>
      <c r="F9" t="s">
        <v>35</v>
      </c>
      <c r="G9" t="s">
        <v>3917</v>
      </c>
    </row>
    <row r="10" spans="1:7" x14ac:dyDescent="0.25">
      <c r="A10" s="1" t="s">
        <v>22</v>
      </c>
      <c r="B10" s="1" t="str">
        <f t="shared" si="0"/>
        <v>Other Services</v>
      </c>
      <c r="C10" s="1">
        <v>9</v>
      </c>
      <c r="F10" t="s">
        <v>20</v>
      </c>
      <c r="G10" t="s">
        <v>3918</v>
      </c>
    </row>
    <row r="11" spans="1:7" x14ac:dyDescent="0.25">
      <c r="A11" s="1" t="s">
        <v>10</v>
      </c>
      <c r="B11" s="1" t="str">
        <f t="shared" si="0"/>
        <v>Public Administration</v>
      </c>
      <c r="C11" s="1">
        <v>8</v>
      </c>
      <c r="F11" t="s">
        <v>43</v>
      </c>
      <c r="G11" t="s">
        <v>3919</v>
      </c>
    </row>
    <row r="12" spans="1:7" x14ac:dyDescent="0.25">
      <c r="A12" s="1" t="s">
        <v>7</v>
      </c>
      <c r="B12" s="1" t="str">
        <f t="shared" si="0"/>
        <v>Construction</v>
      </c>
      <c r="C12" s="1">
        <v>7</v>
      </c>
      <c r="F12" t="s">
        <v>41</v>
      </c>
      <c r="G12" t="s">
        <v>3920</v>
      </c>
    </row>
    <row r="13" spans="1:7" x14ac:dyDescent="0.25">
      <c r="A13" s="1" t="s">
        <v>2</v>
      </c>
      <c r="B13" s="1" t="str">
        <f t="shared" si="0"/>
        <v>Health Care &amp; Social Assistance</v>
      </c>
      <c r="C13" s="1">
        <v>6</v>
      </c>
      <c r="F13" t="s">
        <v>15</v>
      </c>
      <c r="G13" t="s">
        <v>3921</v>
      </c>
    </row>
    <row r="14" spans="1:7" x14ac:dyDescent="0.25">
      <c r="A14" s="1" t="s">
        <v>3</v>
      </c>
      <c r="B14" s="1" t="str">
        <f t="shared" si="0"/>
        <v>Utilities</v>
      </c>
      <c r="C14" s="1">
        <v>5</v>
      </c>
      <c r="F14" t="s">
        <v>34</v>
      </c>
      <c r="G14" t="s">
        <v>3922</v>
      </c>
    </row>
    <row r="15" spans="1:7" x14ac:dyDescent="0.25">
      <c r="A15" s="1" t="s">
        <v>32</v>
      </c>
      <c r="B15" s="1" t="str">
        <f t="shared" si="0"/>
        <v>Professional, Scientific &amp; Technical Services</v>
      </c>
      <c r="C15" s="1">
        <v>4</v>
      </c>
      <c r="F15" t="s">
        <v>29</v>
      </c>
      <c r="G15" t="s">
        <v>3923</v>
      </c>
    </row>
    <row r="16" spans="1:7" x14ac:dyDescent="0.25">
      <c r="A16" s="1" t="s">
        <v>12</v>
      </c>
      <c r="B16" s="1" t="str">
        <f t="shared" si="0"/>
        <v>Educational Services</v>
      </c>
      <c r="C16" s="1">
        <v>3</v>
      </c>
      <c r="F16" t="s">
        <v>25</v>
      </c>
      <c r="G16" t="s">
        <v>3924</v>
      </c>
    </row>
    <row r="17" spans="1:7" x14ac:dyDescent="0.25">
      <c r="A17" s="1" t="s">
        <v>11</v>
      </c>
      <c r="B17" s="1" t="str">
        <f t="shared" si="0"/>
        <v>Finance &amp; Insurance</v>
      </c>
      <c r="C17" s="1">
        <v>2</v>
      </c>
      <c r="F17" t="s">
        <v>36</v>
      </c>
      <c r="G17" t="s">
        <v>3925</v>
      </c>
    </row>
    <row r="18" spans="1:7" x14ac:dyDescent="0.25">
      <c r="A18" s="1" t="s">
        <v>16</v>
      </c>
      <c r="B18" s="1" t="str">
        <f t="shared" si="0"/>
        <v>Mining</v>
      </c>
      <c r="C18" s="1">
        <v>1</v>
      </c>
    </row>
    <row r="20" spans="1:7" x14ac:dyDescent="0.25">
      <c r="A20" s="39" t="s">
        <v>19</v>
      </c>
      <c r="B20" s="39"/>
      <c r="C20" s="39"/>
    </row>
    <row r="21" spans="1:7" x14ac:dyDescent="0.25">
      <c r="A21" s="1" t="s">
        <v>1</v>
      </c>
      <c r="B21" s="1" t="str">
        <f t="shared" ref="B21:B37" si="1">TRIM(A21)</f>
        <v>Arts, Entertainment &amp; Recreation</v>
      </c>
      <c r="C21" s="1">
        <v>16</v>
      </c>
    </row>
    <row r="22" spans="1:7" x14ac:dyDescent="0.25">
      <c r="A22" s="1" t="s">
        <v>6</v>
      </c>
      <c r="B22" s="1" t="str">
        <f t="shared" si="1"/>
        <v>Wholesale Trade</v>
      </c>
      <c r="C22" s="1">
        <v>15</v>
      </c>
    </row>
    <row r="23" spans="1:7" x14ac:dyDescent="0.25">
      <c r="A23" s="1" t="s">
        <v>9</v>
      </c>
      <c r="B23" s="1" t="str">
        <f t="shared" si="1"/>
        <v>Management of Companies &amp; Support Services</v>
      </c>
      <c r="C23" s="1">
        <v>14</v>
      </c>
    </row>
    <row r="24" spans="1:7" x14ac:dyDescent="0.25">
      <c r="A24" s="1" t="s">
        <v>14</v>
      </c>
      <c r="B24" s="1" t="str">
        <f t="shared" si="1"/>
        <v>Real Estate, Rental &amp; Leasing</v>
      </c>
      <c r="C24" s="1">
        <v>13</v>
      </c>
    </row>
    <row r="25" spans="1:7" x14ac:dyDescent="0.25">
      <c r="A25" s="1" t="s">
        <v>22</v>
      </c>
      <c r="B25" s="1" t="str">
        <f t="shared" si="1"/>
        <v>Other Services</v>
      </c>
      <c r="C25" s="1">
        <v>12</v>
      </c>
    </row>
    <row r="26" spans="1:7" x14ac:dyDescent="0.25">
      <c r="A26" s="1" t="s">
        <v>10</v>
      </c>
      <c r="B26" s="1" t="str">
        <f t="shared" si="1"/>
        <v>Public Administration</v>
      </c>
      <c r="C26" s="1">
        <v>11</v>
      </c>
    </row>
    <row r="27" spans="1:7" x14ac:dyDescent="0.25">
      <c r="A27" s="1" t="s">
        <v>4</v>
      </c>
      <c r="B27" s="1" t="str">
        <f t="shared" si="1"/>
        <v>Accommodation &amp; Food Services</v>
      </c>
      <c r="C27" s="1">
        <v>10</v>
      </c>
    </row>
    <row r="28" spans="1:7" x14ac:dyDescent="0.25">
      <c r="A28" s="1" t="s">
        <v>2</v>
      </c>
      <c r="B28" s="1" t="str">
        <f t="shared" si="1"/>
        <v>Health Care &amp; Social Assistance</v>
      </c>
      <c r="C28" s="1">
        <v>9</v>
      </c>
    </row>
    <row r="29" spans="1:7" x14ac:dyDescent="0.25">
      <c r="A29" s="1" t="s">
        <v>3</v>
      </c>
      <c r="B29" s="1" t="str">
        <f t="shared" si="1"/>
        <v>Utilities</v>
      </c>
      <c r="C29" s="1">
        <v>8</v>
      </c>
    </row>
    <row r="30" spans="1:7" x14ac:dyDescent="0.25">
      <c r="A30" s="1" t="s">
        <v>8</v>
      </c>
      <c r="B30" s="1" t="str">
        <f t="shared" si="1"/>
        <v>Retail Trade</v>
      </c>
      <c r="C30" s="1">
        <v>7</v>
      </c>
    </row>
    <row r="31" spans="1:7" x14ac:dyDescent="0.25">
      <c r="A31" s="1" t="s">
        <v>5</v>
      </c>
      <c r="B31" s="1" t="str">
        <f t="shared" si="1"/>
        <v>Transportation &amp; Warehousing</v>
      </c>
      <c r="C31" s="1">
        <v>6</v>
      </c>
    </row>
    <row r="32" spans="1:7" x14ac:dyDescent="0.25">
      <c r="A32" s="1" t="s">
        <v>11</v>
      </c>
      <c r="B32" s="1" t="str">
        <f t="shared" si="1"/>
        <v>Finance &amp; Insurance</v>
      </c>
      <c r="C32" s="1">
        <v>5</v>
      </c>
    </row>
    <row r="33" spans="1:3" x14ac:dyDescent="0.25">
      <c r="A33" s="1" t="s">
        <v>12</v>
      </c>
      <c r="B33" s="1" t="str">
        <f t="shared" si="1"/>
        <v>Educational Services</v>
      </c>
      <c r="C33" s="1">
        <v>4</v>
      </c>
    </row>
    <row r="34" spans="1:3" x14ac:dyDescent="0.25">
      <c r="A34" s="1" t="s">
        <v>17</v>
      </c>
      <c r="B34" s="1" t="str">
        <f t="shared" si="1"/>
        <v>Information</v>
      </c>
      <c r="C34" s="1">
        <v>3</v>
      </c>
    </row>
    <row r="35" spans="1:3" x14ac:dyDescent="0.25">
      <c r="A35" s="1" t="s">
        <v>32</v>
      </c>
      <c r="B35" s="1" t="str">
        <f t="shared" si="1"/>
        <v>Professional, Scientific &amp; Technical Services</v>
      </c>
      <c r="C35" s="1">
        <v>2</v>
      </c>
    </row>
    <row r="36" spans="1:3" x14ac:dyDescent="0.25">
      <c r="A36" s="1" t="s">
        <v>50</v>
      </c>
      <c r="B36" s="1" t="str">
        <f t="shared" si="1"/>
        <v>Construction</v>
      </c>
      <c r="C36" s="1">
        <v>1</v>
      </c>
    </row>
    <row r="37" spans="1:3" x14ac:dyDescent="0.25">
      <c r="A37" s="1" t="s">
        <v>16</v>
      </c>
      <c r="B37" s="1" t="str">
        <f t="shared" si="1"/>
        <v>Mining</v>
      </c>
      <c r="C37" s="1">
        <v>-1</v>
      </c>
    </row>
    <row r="39" spans="1:3" x14ac:dyDescent="0.25">
      <c r="A39" s="39" t="s">
        <v>21</v>
      </c>
      <c r="B39" s="39"/>
      <c r="C39" s="39"/>
    </row>
    <row r="40" spans="1:3" x14ac:dyDescent="0.25">
      <c r="A40" s="1" t="s">
        <v>1</v>
      </c>
      <c r="B40" s="1" t="str">
        <f t="shared" ref="B40:B55" si="2">TRIM(A40)</f>
        <v>Arts, Entertainment &amp; Recreation</v>
      </c>
      <c r="C40" s="1">
        <v>13</v>
      </c>
    </row>
    <row r="41" spans="1:3" x14ac:dyDescent="0.25">
      <c r="A41" s="1" t="s">
        <v>4</v>
      </c>
      <c r="B41" s="1" t="str">
        <f t="shared" si="2"/>
        <v>Accommodation &amp; Food Services</v>
      </c>
      <c r="C41" s="1">
        <v>12</v>
      </c>
    </row>
    <row r="42" spans="1:3" x14ac:dyDescent="0.25">
      <c r="A42" s="1" t="s">
        <v>33</v>
      </c>
      <c r="B42" s="1" t="str">
        <f t="shared" si="2"/>
        <v>Mining</v>
      </c>
      <c r="C42" s="1">
        <v>11</v>
      </c>
    </row>
    <row r="43" spans="1:3" x14ac:dyDescent="0.25">
      <c r="A43" s="1" t="s">
        <v>17</v>
      </c>
      <c r="B43" s="1" t="str">
        <f t="shared" si="2"/>
        <v>Information</v>
      </c>
      <c r="C43" s="1">
        <v>10</v>
      </c>
    </row>
    <row r="44" spans="1:3" x14ac:dyDescent="0.25">
      <c r="A44" s="1" t="s">
        <v>8</v>
      </c>
      <c r="B44" s="1" t="str">
        <f t="shared" si="2"/>
        <v>Retail Trade</v>
      </c>
      <c r="C44" s="1">
        <v>9</v>
      </c>
    </row>
    <row r="45" spans="1:3" x14ac:dyDescent="0.25">
      <c r="A45" s="1" t="s">
        <v>5</v>
      </c>
      <c r="B45" s="1" t="str">
        <f t="shared" si="2"/>
        <v>Transportation &amp; Warehousing</v>
      </c>
      <c r="C45" s="1">
        <v>8</v>
      </c>
    </row>
    <row r="46" spans="1:3" x14ac:dyDescent="0.25">
      <c r="A46" s="1" t="s">
        <v>6</v>
      </c>
      <c r="B46" s="1" t="str">
        <f t="shared" si="2"/>
        <v>Wholesale Trade</v>
      </c>
      <c r="C46" s="1">
        <v>7</v>
      </c>
    </row>
    <row r="47" spans="1:3" x14ac:dyDescent="0.25">
      <c r="A47" s="1" t="s">
        <v>7</v>
      </c>
      <c r="B47" s="1" t="str">
        <f t="shared" si="2"/>
        <v>Construction</v>
      </c>
      <c r="C47" s="1">
        <v>6</v>
      </c>
    </row>
    <row r="48" spans="1:3" x14ac:dyDescent="0.25">
      <c r="A48" s="1" t="s">
        <v>9</v>
      </c>
      <c r="B48" s="1" t="str">
        <f t="shared" si="2"/>
        <v>Management of Companies &amp; Support Services</v>
      </c>
      <c r="C48" s="1">
        <v>5</v>
      </c>
    </row>
    <row r="49" spans="1:3" x14ac:dyDescent="0.25">
      <c r="A49" s="1" t="s">
        <v>10</v>
      </c>
      <c r="B49" s="1" t="str">
        <f t="shared" si="2"/>
        <v>Public Administration</v>
      </c>
      <c r="C49" s="1">
        <v>4</v>
      </c>
    </row>
    <row r="50" spans="1:3" x14ac:dyDescent="0.25">
      <c r="A50" s="1" t="s">
        <v>3</v>
      </c>
      <c r="B50" s="1" t="str">
        <f t="shared" si="2"/>
        <v>Utilities</v>
      </c>
      <c r="C50" s="1">
        <v>3</v>
      </c>
    </row>
    <row r="51" spans="1:3" x14ac:dyDescent="0.25">
      <c r="A51" s="1" t="s">
        <v>32</v>
      </c>
      <c r="B51" s="1" t="str">
        <f t="shared" si="2"/>
        <v>Professional, Scientific &amp; Technical Services</v>
      </c>
      <c r="C51" s="1">
        <v>2</v>
      </c>
    </row>
    <row r="52" spans="1:3" x14ac:dyDescent="0.25">
      <c r="A52" s="1" t="s">
        <v>51</v>
      </c>
      <c r="B52" s="1" t="str">
        <f t="shared" si="2"/>
        <v>Finance &amp; Insurance</v>
      </c>
      <c r="C52" s="1">
        <v>1</v>
      </c>
    </row>
    <row r="53" spans="1:3" x14ac:dyDescent="0.25">
      <c r="A53" s="1" t="s">
        <v>29</v>
      </c>
      <c r="B53" s="1" t="str">
        <f t="shared" si="2"/>
        <v>Real Estate, Rental &amp; Leasing</v>
      </c>
      <c r="C53" s="1">
        <v>-1</v>
      </c>
    </row>
    <row r="54" spans="1:3" x14ac:dyDescent="0.25">
      <c r="A54" s="1" t="s">
        <v>12</v>
      </c>
      <c r="B54" s="1" t="str">
        <f t="shared" si="2"/>
        <v>Educational Services</v>
      </c>
      <c r="C54" s="1">
        <v>-2</v>
      </c>
    </row>
    <row r="55" spans="1:3" x14ac:dyDescent="0.25">
      <c r="A55" s="1" t="s">
        <v>43</v>
      </c>
      <c r="B55" s="1" t="str">
        <f t="shared" si="2"/>
        <v>Health Care &amp; Social Assistance</v>
      </c>
      <c r="C55" s="1">
        <v>-3</v>
      </c>
    </row>
    <row r="57" spans="1:3" x14ac:dyDescent="0.25">
      <c r="A57" s="39" t="s">
        <v>24</v>
      </c>
      <c r="B57" s="39"/>
      <c r="C57" s="39"/>
    </row>
    <row r="58" spans="1:3" x14ac:dyDescent="0.25">
      <c r="A58" s="1" t="s">
        <v>29</v>
      </c>
      <c r="B58" s="1" t="str">
        <f t="shared" ref="B58:B74" si="3">TRIM(A58)</f>
        <v>Real Estate, Rental &amp; Leasing</v>
      </c>
      <c r="C58" s="1">
        <v>-17</v>
      </c>
    </row>
    <row r="59" spans="1:3" x14ac:dyDescent="0.25">
      <c r="A59" s="1" t="s">
        <v>4</v>
      </c>
      <c r="B59" s="1" t="str">
        <f t="shared" si="3"/>
        <v>Accommodation &amp; Food Services</v>
      </c>
      <c r="C59" s="1">
        <v>-16</v>
      </c>
    </row>
    <row r="60" spans="1:3" x14ac:dyDescent="0.25">
      <c r="A60" s="1" t="s">
        <v>42</v>
      </c>
      <c r="B60" s="1" t="str">
        <f t="shared" si="3"/>
        <v>Arts, Entertainment &amp; Recreation</v>
      </c>
      <c r="C60" s="1">
        <v>-15</v>
      </c>
    </row>
    <row r="61" spans="1:3" x14ac:dyDescent="0.25">
      <c r="A61" s="1" t="s">
        <v>6</v>
      </c>
      <c r="B61" s="1" t="str">
        <f t="shared" si="3"/>
        <v>Wholesale Trade</v>
      </c>
      <c r="C61" s="1">
        <v>-14</v>
      </c>
    </row>
    <row r="62" spans="1:3" x14ac:dyDescent="0.25">
      <c r="A62" s="1" t="s">
        <v>22</v>
      </c>
      <c r="B62" s="1" t="str">
        <f t="shared" si="3"/>
        <v>Other Services</v>
      </c>
      <c r="C62" s="1">
        <v>-13</v>
      </c>
    </row>
    <row r="63" spans="1:3" x14ac:dyDescent="0.25">
      <c r="A63" s="1" t="s">
        <v>8</v>
      </c>
      <c r="B63" s="1" t="str">
        <f t="shared" si="3"/>
        <v>Retail Trade</v>
      </c>
      <c r="C63" s="1">
        <v>-12</v>
      </c>
    </row>
    <row r="64" spans="1:3" x14ac:dyDescent="0.25">
      <c r="A64" s="1" t="s">
        <v>5</v>
      </c>
      <c r="B64" s="1" t="str">
        <f t="shared" si="3"/>
        <v>Transportation &amp; Warehousing</v>
      </c>
      <c r="C64" s="1">
        <v>-11</v>
      </c>
    </row>
    <row r="65" spans="1:3" x14ac:dyDescent="0.25">
      <c r="A65" s="1" t="s">
        <v>17</v>
      </c>
      <c r="B65" s="1" t="str">
        <f t="shared" si="3"/>
        <v>Information</v>
      </c>
      <c r="C65" s="1">
        <v>-10</v>
      </c>
    </row>
    <row r="66" spans="1:3" x14ac:dyDescent="0.25">
      <c r="A66" s="1" t="s">
        <v>10</v>
      </c>
      <c r="B66" s="1" t="str">
        <f t="shared" si="3"/>
        <v>Public Administration</v>
      </c>
      <c r="C66" s="1">
        <v>-9</v>
      </c>
    </row>
    <row r="67" spans="1:3" x14ac:dyDescent="0.25">
      <c r="A67" s="1" t="s">
        <v>7</v>
      </c>
      <c r="B67" s="1" t="str">
        <f t="shared" si="3"/>
        <v>Construction</v>
      </c>
      <c r="C67" s="1">
        <v>-8</v>
      </c>
    </row>
    <row r="68" spans="1:3" x14ac:dyDescent="0.25">
      <c r="A68" s="1" t="s">
        <v>2</v>
      </c>
      <c r="B68" s="1" t="str">
        <f t="shared" si="3"/>
        <v>Health Care &amp; Social Assistance</v>
      </c>
      <c r="C68" s="1">
        <v>-7</v>
      </c>
    </row>
    <row r="69" spans="1:3" x14ac:dyDescent="0.25">
      <c r="A69" s="1" t="s">
        <v>9</v>
      </c>
      <c r="B69" s="1" t="str">
        <f t="shared" si="3"/>
        <v>Management of Companies &amp; Support Services</v>
      </c>
      <c r="C69" s="1">
        <v>-6</v>
      </c>
    </row>
    <row r="70" spans="1:3" x14ac:dyDescent="0.25">
      <c r="A70" s="1" t="s">
        <v>3</v>
      </c>
      <c r="B70" s="1" t="str">
        <f t="shared" si="3"/>
        <v>Utilities</v>
      </c>
      <c r="C70" s="1">
        <v>-5</v>
      </c>
    </row>
    <row r="71" spans="1:3" x14ac:dyDescent="0.25">
      <c r="A71" s="1" t="s">
        <v>12</v>
      </c>
      <c r="B71" s="1" t="str">
        <f t="shared" si="3"/>
        <v>Educational Services</v>
      </c>
      <c r="C71" s="1">
        <v>-4</v>
      </c>
    </row>
    <row r="72" spans="1:3" x14ac:dyDescent="0.25">
      <c r="A72" s="1" t="s">
        <v>32</v>
      </c>
      <c r="B72" s="1" t="str">
        <f t="shared" si="3"/>
        <v>Professional, Scientific &amp; Technical Services</v>
      </c>
      <c r="C72" s="1">
        <v>-3</v>
      </c>
    </row>
    <row r="73" spans="1:3" x14ac:dyDescent="0.25">
      <c r="A73" s="1" t="s">
        <v>33</v>
      </c>
      <c r="B73" s="1" t="str">
        <f t="shared" si="3"/>
        <v>Mining</v>
      </c>
      <c r="C73" s="1">
        <v>-2</v>
      </c>
    </row>
    <row r="74" spans="1:3" x14ac:dyDescent="0.25">
      <c r="A74" s="1" t="s">
        <v>23</v>
      </c>
      <c r="B74" s="1" t="str">
        <f t="shared" si="3"/>
        <v>Finance &amp; Insurance</v>
      </c>
      <c r="C74" s="1">
        <v>-1</v>
      </c>
    </row>
    <row r="76" spans="1:3" x14ac:dyDescent="0.25">
      <c r="A76" s="39" t="s">
        <v>26</v>
      </c>
      <c r="B76" s="39"/>
      <c r="C76" s="39"/>
    </row>
    <row r="77" spans="1:3" x14ac:dyDescent="0.25">
      <c r="A77" s="1" t="s">
        <v>1</v>
      </c>
      <c r="B77" s="1" t="str">
        <f t="shared" ref="B77:B91" si="4">TRIM(A77)</f>
        <v>Arts, Entertainment &amp; Recreation</v>
      </c>
      <c r="C77" s="1">
        <v>10</v>
      </c>
    </row>
    <row r="78" spans="1:3" x14ac:dyDescent="0.25">
      <c r="A78" s="1" t="s">
        <v>13</v>
      </c>
      <c r="B78" s="1" t="str">
        <f t="shared" si="4"/>
        <v>Agriculture, Forestry, Fishing &amp; Hunting</v>
      </c>
      <c r="C78" s="1">
        <v>9</v>
      </c>
    </row>
    <row r="79" spans="1:3" x14ac:dyDescent="0.25">
      <c r="A79" s="1" t="s">
        <v>22</v>
      </c>
      <c r="B79" s="1" t="str">
        <f t="shared" si="4"/>
        <v>Other Services</v>
      </c>
      <c r="C79" s="1">
        <v>8</v>
      </c>
    </row>
    <row r="80" spans="1:3" x14ac:dyDescent="0.25">
      <c r="A80" s="1" t="s">
        <v>11</v>
      </c>
      <c r="B80" s="1" t="str">
        <f t="shared" si="4"/>
        <v>Finance &amp; Insurance</v>
      </c>
      <c r="C80" s="1">
        <v>7</v>
      </c>
    </row>
    <row r="81" spans="1:3" x14ac:dyDescent="0.25">
      <c r="A81" s="1" t="s">
        <v>4</v>
      </c>
      <c r="B81" s="1" t="str">
        <f t="shared" si="4"/>
        <v>Accommodation &amp; Food Services</v>
      </c>
      <c r="C81" s="1">
        <v>6</v>
      </c>
    </row>
    <row r="82" spans="1:3" x14ac:dyDescent="0.25">
      <c r="A82" s="1" t="s">
        <v>8</v>
      </c>
      <c r="B82" s="1" t="str">
        <f t="shared" si="4"/>
        <v>Retail Trade</v>
      </c>
      <c r="C82" s="1">
        <v>5</v>
      </c>
    </row>
    <row r="83" spans="1:3" x14ac:dyDescent="0.25">
      <c r="A83" s="1" t="s">
        <v>3</v>
      </c>
      <c r="B83" s="1" t="str">
        <f t="shared" si="4"/>
        <v>Utilities</v>
      </c>
      <c r="C83" s="1">
        <v>4</v>
      </c>
    </row>
    <row r="84" spans="1:3" x14ac:dyDescent="0.25">
      <c r="A84" s="1" t="s">
        <v>6</v>
      </c>
      <c r="B84" s="1" t="str">
        <f t="shared" si="4"/>
        <v>Wholesale Trade</v>
      </c>
      <c r="C84" s="1">
        <v>3</v>
      </c>
    </row>
    <row r="85" spans="1:3" x14ac:dyDescent="0.25">
      <c r="A85" s="1" t="s">
        <v>17</v>
      </c>
      <c r="B85" s="1" t="str">
        <f t="shared" si="4"/>
        <v>Information</v>
      </c>
      <c r="C85" s="1">
        <v>2</v>
      </c>
    </row>
    <row r="86" spans="1:3" x14ac:dyDescent="0.25">
      <c r="A86" s="1" t="s">
        <v>44</v>
      </c>
      <c r="B86" s="1" t="str">
        <f t="shared" si="4"/>
        <v>Professional, Scientific &amp; Technical Services</v>
      </c>
      <c r="C86" s="1">
        <v>1</v>
      </c>
    </row>
    <row r="87" spans="1:3" x14ac:dyDescent="0.25">
      <c r="A87" s="1" t="s">
        <v>29</v>
      </c>
      <c r="B87" s="1" t="str">
        <f t="shared" si="4"/>
        <v>Real Estate, Rental &amp; Leasing</v>
      </c>
      <c r="C87" s="1">
        <v>-1</v>
      </c>
    </row>
    <row r="88" spans="1:3" x14ac:dyDescent="0.25">
      <c r="A88" s="1" t="s">
        <v>5</v>
      </c>
      <c r="B88" s="1" t="str">
        <f t="shared" si="4"/>
        <v>Transportation &amp; Warehousing</v>
      </c>
      <c r="C88" s="1">
        <v>-2</v>
      </c>
    </row>
    <row r="89" spans="1:3" x14ac:dyDescent="0.25">
      <c r="A89" s="1" t="s">
        <v>33</v>
      </c>
      <c r="B89" s="1" t="str">
        <f t="shared" si="4"/>
        <v>Mining</v>
      </c>
      <c r="C89" s="1">
        <v>-3</v>
      </c>
    </row>
    <row r="90" spans="1:3" x14ac:dyDescent="0.25">
      <c r="A90" s="1" t="s">
        <v>12</v>
      </c>
      <c r="B90" s="1" t="str">
        <f t="shared" si="4"/>
        <v>Educational Services</v>
      </c>
      <c r="C90" s="1">
        <v>-4</v>
      </c>
    </row>
    <row r="91" spans="1:3" x14ac:dyDescent="0.25">
      <c r="A91" s="1" t="s">
        <v>43</v>
      </c>
      <c r="B91" s="1" t="str">
        <f t="shared" si="4"/>
        <v>Health Care &amp; Social Assistance</v>
      </c>
      <c r="C91" s="1">
        <v>-5</v>
      </c>
    </row>
    <row r="93" spans="1:3" x14ac:dyDescent="0.25">
      <c r="A93" s="39" t="s">
        <v>30</v>
      </c>
      <c r="B93" s="39"/>
      <c r="C93" s="39"/>
    </row>
    <row r="94" spans="1:3" ht="15.75" x14ac:dyDescent="0.25">
      <c r="A94" s="7" t="s">
        <v>1</v>
      </c>
      <c r="B94" s="1" t="str">
        <f t="shared" ref="B94:B110" si="5">TRIM(A94)</f>
        <v>Arts, Entertainment &amp; Recreation</v>
      </c>
      <c r="C94" s="1">
        <v>17</v>
      </c>
    </row>
    <row r="95" spans="1:3" ht="15.75" x14ac:dyDescent="0.25">
      <c r="A95" s="7" t="s">
        <v>29</v>
      </c>
      <c r="B95" s="1" t="str">
        <f t="shared" si="5"/>
        <v>Real Estate, Rental &amp; Leasing</v>
      </c>
      <c r="C95" s="1">
        <v>16</v>
      </c>
    </row>
    <row r="96" spans="1:3" ht="15.75" x14ac:dyDescent="0.25">
      <c r="A96" s="7" t="s">
        <v>16</v>
      </c>
      <c r="B96" s="1" t="str">
        <f t="shared" si="5"/>
        <v>Mining</v>
      </c>
      <c r="C96" s="1">
        <v>15</v>
      </c>
    </row>
    <row r="97" spans="1:3" ht="15.75" x14ac:dyDescent="0.25">
      <c r="A97" s="7" t="s">
        <v>25</v>
      </c>
      <c r="B97" s="1" t="str">
        <f t="shared" si="5"/>
        <v>Retail Trade</v>
      </c>
      <c r="C97" s="1">
        <v>14</v>
      </c>
    </row>
    <row r="98" spans="1:3" ht="15.75" x14ac:dyDescent="0.25">
      <c r="A98" s="7" t="s">
        <v>36</v>
      </c>
      <c r="B98" s="1" t="str">
        <f t="shared" si="5"/>
        <v>Wholesale Trade</v>
      </c>
      <c r="C98" s="1">
        <v>13</v>
      </c>
    </row>
    <row r="99" spans="1:3" ht="15.75" x14ac:dyDescent="0.25">
      <c r="A99" s="7" t="s">
        <v>40</v>
      </c>
      <c r="B99" s="1" t="str">
        <f t="shared" si="5"/>
        <v>Utilities</v>
      </c>
      <c r="C99" s="1">
        <v>12</v>
      </c>
    </row>
    <row r="100" spans="1:3" ht="15.75" x14ac:dyDescent="0.25">
      <c r="A100" s="7" t="s">
        <v>20</v>
      </c>
      <c r="B100" s="1" t="str">
        <f t="shared" si="5"/>
        <v>Construction</v>
      </c>
      <c r="C100" s="1">
        <v>11</v>
      </c>
    </row>
    <row r="101" spans="1:3" ht="15.75" x14ac:dyDescent="0.25">
      <c r="A101" s="7" t="s">
        <v>38</v>
      </c>
      <c r="B101" s="1" t="str">
        <f t="shared" si="5"/>
        <v>Transportation &amp; Warehousing</v>
      </c>
      <c r="C101" s="1">
        <v>10</v>
      </c>
    </row>
    <row r="102" spans="1:3" ht="15.75" x14ac:dyDescent="0.25">
      <c r="A102" s="7" t="s">
        <v>23</v>
      </c>
      <c r="B102" s="1" t="str">
        <f t="shared" si="5"/>
        <v>Finance &amp; Insurance</v>
      </c>
      <c r="C102" s="1">
        <v>9</v>
      </c>
    </row>
    <row r="103" spans="1:3" ht="15.75" x14ac:dyDescent="0.25">
      <c r="A103" s="7" t="s">
        <v>18</v>
      </c>
      <c r="B103" s="1" t="str">
        <f t="shared" si="5"/>
        <v>Other Services</v>
      </c>
      <c r="C103" s="1">
        <v>8</v>
      </c>
    </row>
    <row r="104" spans="1:3" ht="15.75" x14ac:dyDescent="0.25">
      <c r="A104" s="7" t="s">
        <v>52</v>
      </c>
      <c r="B104" s="1" t="str">
        <f t="shared" si="5"/>
        <v>Accommodation &amp; Food Services;</v>
      </c>
      <c r="C104" s="1">
        <v>7</v>
      </c>
    </row>
    <row r="105" spans="1:3" ht="15.75" x14ac:dyDescent="0.25">
      <c r="A105" s="7" t="s">
        <v>41</v>
      </c>
      <c r="B105" s="1" t="str">
        <f t="shared" si="5"/>
        <v>Management of Companies &amp; Support Services</v>
      </c>
      <c r="C105" s="1">
        <v>6</v>
      </c>
    </row>
    <row r="106" spans="1:3" ht="15.75" x14ac:dyDescent="0.25">
      <c r="A106" s="7" t="s">
        <v>34</v>
      </c>
      <c r="B106" s="1" t="str">
        <f t="shared" si="5"/>
        <v>Public Administration</v>
      </c>
      <c r="C106" s="1">
        <v>5</v>
      </c>
    </row>
    <row r="107" spans="1:3" ht="15.75" x14ac:dyDescent="0.25">
      <c r="A107" s="7" t="s">
        <v>27</v>
      </c>
      <c r="B107" s="1" t="str">
        <f t="shared" si="5"/>
        <v>Educational Services</v>
      </c>
      <c r="C107" s="1">
        <v>4</v>
      </c>
    </row>
    <row r="108" spans="1:3" ht="15.75" x14ac:dyDescent="0.25">
      <c r="A108" s="7" t="s">
        <v>28</v>
      </c>
      <c r="B108" s="1" t="str">
        <f t="shared" si="5"/>
        <v>Information</v>
      </c>
      <c r="C108" s="1">
        <v>3</v>
      </c>
    </row>
    <row r="109" spans="1:3" ht="15.75" x14ac:dyDescent="0.25">
      <c r="A109" s="7" t="s">
        <v>43</v>
      </c>
      <c r="B109" s="1" t="str">
        <f t="shared" si="5"/>
        <v>Health Care &amp; Social Assistance</v>
      </c>
      <c r="C109" s="1">
        <v>2</v>
      </c>
    </row>
    <row r="110" spans="1:3" ht="15.75" x14ac:dyDescent="0.25">
      <c r="A110" s="7" t="s">
        <v>15</v>
      </c>
      <c r="B110" s="1" t="str">
        <f t="shared" si="5"/>
        <v>Professional, Scientific &amp; Technical Services</v>
      </c>
      <c r="C110" s="1">
        <v>1</v>
      </c>
    </row>
    <row r="112" spans="1:3" x14ac:dyDescent="0.25">
      <c r="A112" s="39" t="s">
        <v>3818</v>
      </c>
      <c r="B112" s="39"/>
      <c r="C112" s="39"/>
    </row>
    <row r="113" spans="1:3" x14ac:dyDescent="0.25">
      <c r="A113" s="2" t="s">
        <v>1</v>
      </c>
      <c r="B113" s="1" t="str">
        <f t="shared" ref="B113:B129" si="6">TRIM(A113)</f>
        <v>Arts, Entertainment &amp; Recreation</v>
      </c>
      <c r="C113" s="2">
        <v>17</v>
      </c>
    </row>
    <row r="114" spans="1:3" x14ac:dyDescent="0.25">
      <c r="A114" s="2" t="s">
        <v>9</v>
      </c>
      <c r="B114" s="1" t="str">
        <f t="shared" si="6"/>
        <v>Management of Companies &amp; Support Services</v>
      </c>
      <c r="C114" s="2">
        <v>16</v>
      </c>
    </row>
    <row r="115" spans="1:3" x14ac:dyDescent="0.25">
      <c r="A115" s="2" t="s">
        <v>6</v>
      </c>
      <c r="B115" s="1" t="str">
        <f t="shared" si="6"/>
        <v>Wholesale Trade</v>
      </c>
      <c r="C115" s="2">
        <v>15</v>
      </c>
    </row>
    <row r="116" spans="1:3" x14ac:dyDescent="0.25">
      <c r="A116" s="2" t="s">
        <v>8</v>
      </c>
      <c r="B116" s="1" t="str">
        <f t="shared" si="6"/>
        <v>Retail Trade</v>
      </c>
      <c r="C116" s="2">
        <v>14</v>
      </c>
    </row>
    <row r="117" spans="1:3" x14ac:dyDescent="0.25">
      <c r="A117" s="2" t="s">
        <v>14</v>
      </c>
      <c r="B117" s="1" t="str">
        <f t="shared" si="6"/>
        <v>Real Estate, Rental &amp; Leasing</v>
      </c>
      <c r="C117" s="2">
        <v>13</v>
      </c>
    </row>
    <row r="118" spans="1:3" x14ac:dyDescent="0.25">
      <c r="A118" s="2" t="s">
        <v>4</v>
      </c>
      <c r="B118" s="1" t="str">
        <f t="shared" si="6"/>
        <v>Accommodation &amp; Food Services</v>
      </c>
      <c r="C118" s="2">
        <v>12</v>
      </c>
    </row>
    <row r="119" spans="1:3" x14ac:dyDescent="0.25">
      <c r="A119" s="2" t="s">
        <v>17</v>
      </c>
      <c r="B119" s="1" t="str">
        <f t="shared" si="6"/>
        <v>Information</v>
      </c>
      <c r="C119" s="2">
        <v>11</v>
      </c>
    </row>
    <row r="120" spans="1:3" x14ac:dyDescent="0.25">
      <c r="A120" s="2" t="s">
        <v>2</v>
      </c>
      <c r="B120" s="1" t="str">
        <f t="shared" si="6"/>
        <v>Health Care &amp; Social Assistance</v>
      </c>
      <c r="C120" s="2">
        <v>10</v>
      </c>
    </row>
    <row r="121" spans="1:3" x14ac:dyDescent="0.25">
      <c r="A121" s="2" t="s">
        <v>5</v>
      </c>
      <c r="B121" s="1" t="str">
        <f t="shared" si="6"/>
        <v>Transportation &amp; Warehousing</v>
      </c>
      <c r="C121" s="2">
        <v>9</v>
      </c>
    </row>
    <row r="122" spans="1:3" x14ac:dyDescent="0.25">
      <c r="A122" s="2" t="s">
        <v>10</v>
      </c>
      <c r="B122" s="1" t="str">
        <f t="shared" si="6"/>
        <v>Public Administration</v>
      </c>
      <c r="C122" s="2">
        <v>8</v>
      </c>
    </row>
    <row r="123" spans="1:3" x14ac:dyDescent="0.25">
      <c r="A123" s="2" t="s">
        <v>3</v>
      </c>
      <c r="B123" s="1" t="str">
        <f t="shared" si="6"/>
        <v>Utilities</v>
      </c>
      <c r="C123" s="2">
        <v>7</v>
      </c>
    </row>
    <row r="124" spans="1:3" x14ac:dyDescent="0.25">
      <c r="A124" s="2" t="s">
        <v>22</v>
      </c>
      <c r="B124" s="1" t="str">
        <f t="shared" si="6"/>
        <v>Other Services</v>
      </c>
      <c r="C124" s="2">
        <v>6</v>
      </c>
    </row>
    <row r="125" spans="1:3" x14ac:dyDescent="0.25">
      <c r="A125" s="2" t="s">
        <v>7</v>
      </c>
      <c r="B125" s="1" t="str">
        <f t="shared" si="6"/>
        <v>Construction</v>
      </c>
      <c r="C125" s="2">
        <v>5</v>
      </c>
    </row>
    <row r="126" spans="1:3" x14ac:dyDescent="0.25">
      <c r="A126" s="2" t="s">
        <v>32</v>
      </c>
      <c r="B126" s="1" t="str">
        <f t="shared" si="6"/>
        <v>Professional, Scientific &amp; Technical Services</v>
      </c>
      <c r="C126" s="2">
        <v>4</v>
      </c>
    </row>
    <row r="127" spans="1:3" x14ac:dyDescent="0.25">
      <c r="A127" s="2" t="s">
        <v>11</v>
      </c>
      <c r="B127" s="1" t="str">
        <f t="shared" si="6"/>
        <v>Finance &amp; Insurance</v>
      </c>
      <c r="C127" s="2">
        <v>3</v>
      </c>
    </row>
    <row r="128" spans="1:3" x14ac:dyDescent="0.25">
      <c r="A128" s="2" t="s">
        <v>12</v>
      </c>
      <c r="B128" s="1" t="str">
        <f t="shared" si="6"/>
        <v>Educational Services</v>
      </c>
      <c r="C128" s="2">
        <v>2</v>
      </c>
    </row>
    <row r="129" spans="1:3" x14ac:dyDescent="0.25">
      <c r="A129" s="2" t="s">
        <v>16</v>
      </c>
      <c r="B129" s="1" t="str">
        <f t="shared" si="6"/>
        <v>Mining</v>
      </c>
      <c r="C129" s="2">
        <v>1</v>
      </c>
    </row>
  </sheetData>
  <mergeCells count="7">
    <mergeCell ref="A112:C112"/>
    <mergeCell ref="A93:C93"/>
    <mergeCell ref="A1:C1"/>
    <mergeCell ref="A20:C20"/>
    <mergeCell ref="A39:C39"/>
    <mergeCell ref="A57:C57"/>
    <mergeCell ref="A76:C76"/>
  </mergeCells>
  <pageMargins left="0.7" right="0.7" top="0.75" bottom="0.75" header="0.51180555555555496" footer="0.51180555555555496"/>
  <pageSetup paperSize="9" firstPageNumber="0"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G128"/>
  <sheetViews>
    <sheetView zoomScaleNormal="100" workbookViewId="0">
      <selection activeCell="F1" sqref="F1:F1048576"/>
    </sheetView>
  </sheetViews>
  <sheetFormatPr defaultRowHeight="15" x14ac:dyDescent="0.25"/>
  <cols>
    <col min="1" max="1" width="41.28515625" customWidth="1"/>
    <col min="2" max="2" width="40.85546875" customWidth="1"/>
    <col min="3" max="7" width="8.7109375" customWidth="1"/>
    <col min="9" max="1018" width="8.7109375" customWidth="1"/>
  </cols>
  <sheetData>
    <row r="1" spans="1:7" x14ac:dyDescent="0.25">
      <c r="A1" s="39" t="s">
        <v>0</v>
      </c>
      <c r="B1" s="39"/>
      <c r="C1" s="39"/>
    </row>
    <row r="2" spans="1:7" x14ac:dyDescent="0.25">
      <c r="A2" s="1" t="s">
        <v>31</v>
      </c>
      <c r="B2" s="1" t="s">
        <v>31</v>
      </c>
      <c r="C2" s="1">
        <v>17</v>
      </c>
      <c r="F2" t="s">
        <v>31</v>
      </c>
      <c r="G2" s="29" t="s">
        <v>3903</v>
      </c>
    </row>
    <row r="3" spans="1:7" x14ac:dyDescent="0.25">
      <c r="A3" s="1" t="s">
        <v>8</v>
      </c>
      <c r="B3" s="1" t="s">
        <v>25</v>
      </c>
      <c r="C3" s="1">
        <v>16</v>
      </c>
      <c r="F3" t="s">
        <v>35</v>
      </c>
      <c r="G3" s="29" t="s">
        <v>3904</v>
      </c>
    </row>
    <row r="4" spans="1:7" x14ac:dyDescent="0.25">
      <c r="A4" s="1" t="s">
        <v>7</v>
      </c>
      <c r="B4" s="1" t="s">
        <v>20</v>
      </c>
      <c r="C4" s="1">
        <v>15</v>
      </c>
      <c r="F4" t="s">
        <v>20</v>
      </c>
      <c r="G4" s="29" t="s">
        <v>3905</v>
      </c>
    </row>
    <row r="5" spans="1:7" x14ac:dyDescent="0.25">
      <c r="A5" s="1" t="s">
        <v>12</v>
      </c>
      <c r="B5" s="1" t="s">
        <v>27</v>
      </c>
      <c r="C5" s="1">
        <v>14</v>
      </c>
      <c r="F5" t="s">
        <v>27</v>
      </c>
      <c r="G5" s="29" t="s">
        <v>3906</v>
      </c>
    </row>
    <row r="6" spans="1:7" x14ac:dyDescent="0.25">
      <c r="A6" s="1" t="s">
        <v>17</v>
      </c>
      <c r="B6" s="1" t="s">
        <v>28</v>
      </c>
      <c r="C6" s="1">
        <v>13</v>
      </c>
      <c r="F6" t="s">
        <v>43</v>
      </c>
      <c r="G6" s="29" t="s">
        <v>3907</v>
      </c>
    </row>
    <row r="7" spans="1:7" x14ac:dyDescent="0.25">
      <c r="A7" s="1" t="s">
        <v>33</v>
      </c>
      <c r="B7" s="1" t="s">
        <v>16</v>
      </c>
      <c r="C7" s="1">
        <v>12</v>
      </c>
      <c r="F7" t="s">
        <v>28</v>
      </c>
      <c r="G7" s="29" t="s">
        <v>3908</v>
      </c>
    </row>
    <row r="8" spans="1:7" x14ac:dyDescent="0.25">
      <c r="A8" s="1" t="s">
        <v>22</v>
      </c>
      <c r="B8" s="1" t="s">
        <v>18</v>
      </c>
      <c r="C8" s="1">
        <v>11</v>
      </c>
      <c r="F8" t="s">
        <v>41</v>
      </c>
      <c r="G8" s="29" t="s">
        <v>3909</v>
      </c>
    </row>
    <row r="9" spans="1:7" x14ac:dyDescent="0.25">
      <c r="A9" s="1" t="s">
        <v>3</v>
      </c>
      <c r="B9" s="1" t="s">
        <v>40</v>
      </c>
      <c r="C9" s="1">
        <v>10</v>
      </c>
      <c r="F9" t="s">
        <v>16</v>
      </c>
      <c r="G9" s="29" t="s">
        <v>3910</v>
      </c>
    </row>
    <row r="10" spans="1:7" x14ac:dyDescent="0.25">
      <c r="A10" s="1" t="s">
        <v>10</v>
      </c>
      <c r="B10" s="1" t="s">
        <v>34</v>
      </c>
      <c r="C10" s="1">
        <v>9</v>
      </c>
      <c r="F10" t="s">
        <v>15</v>
      </c>
      <c r="G10" s="29" t="s">
        <v>3911</v>
      </c>
    </row>
    <row r="11" spans="1:7" x14ac:dyDescent="0.25">
      <c r="A11" s="1" t="s">
        <v>5</v>
      </c>
      <c r="B11" s="1" t="s">
        <v>38</v>
      </c>
      <c r="C11" s="1">
        <v>8</v>
      </c>
      <c r="F11" t="s">
        <v>34</v>
      </c>
      <c r="G11" s="29" t="s">
        <v>3912</v>
      </c>
    </row>
    <row r="12" spans="1:7" x14ac:dyDescent="0.25">
      <c r="A12" s="1" t="s">
        <v>2</v>
      </c>
      <c r="B12" s="1" t="s">
        <v>43</v>
      </c>
      <c r="C12" s="1">
        <v>7</v>
      </c>
      <c r="F12" t="s">
        <v>29</v>
      </c>
      <c r="G12" s="29" t="s">
        <v>3913</v>
      </c>
    </row>
    <row r="13" spans="1:7" x14ac:dyDescent="0.25">
      <c r="A13" s="1" t="s">
        <v>6</v>
      </c>
      <c r="B13" s="1" t="s">
        <v>36</v>
      </c>
      <c r="C13" s="1">
        <v>6</v>
      </c>
      <c r="F13" t="s">
        <v>25</v>
      </c>
      <c r="G13" s="29" t="s">
        <v>3914</v>
      </c>
    </row>
    <row r="14" spans="1:7" x14ac:dyDescent="0.25">
      <c r="A14" s="1" t="s">
        <v>9</v>
      </c>
      <c r="B14" s="1" t="s">
        <v>41</v>
      </c>
      <c r="C14" s="1">
        <v>5</v>
      </c>
      <c r="F14" t="s">
        <v>36</v>
      </c>
      <c r="G14" s="29" t="s">
        <v>3915</v>
      </c>
    </row>
    <row r="15" spans="1:7" x14ac:dyDescent="0.25">
      <c r="A15" s="1" t="s">
        <v>13</v>
      </c>
      <c r="B15" s="1" t="s">
        <v>35</v>
      </c>
      <c r="C15" s="1">
        <v>4</v>
      </c>
    </row>
    <row r="16" spans="1:7" x14ac:dyDescent="0.25">
      <c r="A16" s="1" t="s">
        <v>11</v>
      </c>
      <c r="B16" s="1" t="s">
        <v>23</v>
      </c>
      <c r="C16" s="1">
        <v>3</v>
      </c>
    </row>
    <row r="17" spans="1:3" x14ac:dyDescent="0.25">
      <c r="A17" s="1" t="s">
        <v>14</v>
      </c>
      <c r="B17" s="1" t="s">
        <v>29</v>
      </c>
      <c r="C17" s="1">
        <v>2</v>
      </c>
    </row>
    <row r="18" spans="1:3" x14ac:dyDescent="0.25">
      <c r="A18" s="1" t="s">
        <v>15</v>
      </c>
      <c r="B18" s="1" t="s">
        <v>15</v>
      </c>
      <c r="C18" s="1">
        <v>1</v>
      </c>
    </row>
    <row r="19" spans="1:3" x14ac:dyDescent="0.25">
      <c r="A19" s="1" t="s">
        <v>1</v>
      </c>
      <c r="B19" s="1" t="s">
        <v>1</v>
      </c>
      <c r="C19" s="1">
        <v>-1</v>
      </c>
    </row>
    <row r="21" spans="1:3" x14ac:dyDescent="0.25">
      <c r="A21" s="39" t="s">
        <v>19</v>
      </c>
      <c r="B21" s="39"/>
      <c r="C21" s="39"/>
    </row>
    <row r="22" spans="1:3" x14ac:dyDescent="0.25">
      <c r="A22" s="1" t="s">
        <v>28</v>
      </c>
      <c r="B22" s="1" t="str">
        <f t="shared" ref="B22:B37" si="0">TRIM(A22)</f>
        <v>Information</v>
      </c>
      <c r="C22" s="1">
        <v>13</v>
      </c>
    </row>
    <row r="23" spans="1:3" x14ac:dyDescent="0.25">
      <c r="A23" s="1" t="s">
        <v>31</v>
      </c>
      <c r="B23" s="1" t="str">
        <f t="shared" si="0"/>
        <v>Accommodation &amp; Food Services</v>
      </c>
      <c r="C23" s="1">
        <v>12</v>
      </c>
    </row>
    <row r="24" spans="1:3" x14ac:dyDescent="0.25">
      <c r="A24" s="1" t="s">
        <v>8</v>
      </c>
      <c r="B24" s="1" t="str">
        <f t="shared" si="0"/>
        <v>Retail Trade</v>
      </c>
      <c r="C24" s="1">
        <v>11</v>
      </c>
    </row>
    <row r="25" spans="1:3" x14ac:dyDescent="0.25">
      <c r="A25" s="1" t="s">
        <v>12</v>
      </c>
      <c r="B25" s="1" t="str">
        <f t="shared" si="0"/>
        <v>Educational Services</v>
      </c>
      <c r="C25" s="1">
        <v>10</v>
      </c>
    </row>
    <row r="26" spans="1:3" x14ac:dyDescent="0.25">
      <c r="A26" s="1" t="s">
        <v>7</v>
      </c>
      <c r="B26" s="1" t="str">
        <f t="shared" si="0"/>
        <v>Construction</v>
      </c>
      <c r="C26" s="1">
        <v>9</v>
      </c>
    </row>
    <row r="27" spans="1:3" x14ac:dyDescent="0.25">
      <c r="A27" s="1" t="s">
        <v>22</v>
      </c>
      <c r="B27" s="1" t="str">
        <f t="shared" si="0"/>
        <v>Other Services</v>
      </c>
      <c r="C27" s="1">
        <v>8</v>
      </c>
    </row>
    <row r="28" spans="1:3" x14ac:dyDescent="0.25">
      <c r="A28" s="1" t="s">
        <v>33</v>
      </c>
      <c r="B28" s="1" t="str">
        <f t="shared" si="0"/>
        <v>Mining</v>
      </c>
      <c r="C28" s="1">
        <v>7</v>
      </c>
    </row>
    <row r="29" spans="1:3" x14ac:dyDescent="0.25">
      <c r="A29" s="1" t="s">
        <v>2</v>
      </c>
      <c r="B29" s="1" t="str">
        <f t="shared" si="0"/>
        <v>Health Care &amp; Social Assistance</v>
      </c>
      <c r="C29" s="1">
        <v>6</v>
      </c>
    </row>
    <row r="30" spans="1:3" x14ac:dyDescent="0.25">
      <c r="A30" s="1" t="s">
        <v>11</v>
      </c>
      <c r="B30" s="1" t="str">
        <f t="shared" si="0"/>
        <v>Finance &amp; Insurance</v>
      </c>
      <c r="C30" s="1">
        <v>5</v>
      </c>
    </row>
    <row r="31" spans="1:3" x14ac:dyDescent="0.25">
      <c r="A31" s="1" t="s">
        <v>10</v>
      </c>
      <c r="B31" s="1" t="str">
        <f t="shared" si="0"/>
        <v>Public Administration</v>
      </c>
      <c r="C31" s="1">
        <v>4</v>
      </c>
    </row>
    <row r="32" spans="1:3" x14ac:dyDescent="0.25">
      <c r="A32" s="1" t="s">
        <v>3</v>
      </c>
      <c r="B32" s="1" t="str">
        <f t="shared" si="0"/>
        <v>Utilities</v>
      </c>
      <c r="C32" s="1">
        <v>3</v>
      </c>
    </row>
    <row r="33" spans="1:3" x14ac:dyDescent="0.25">
      <c r="A33" s="1" t="s">
        <v>5</v>
      </c>
      <c r="B33" s="1" t="str">
        <f t="shared" si="0"/>
        <v>Transportation &amp; Warehousing</v>
      </c>
      <c r="C33" s="1">
        <v>2</v>
      </c>
    </row>
    <row r="34" spans="1:3" x14ac:dyDescent="0.25">
      <c r="A34" s="1" t="s">
        <v>15</v>
      </c>
      <c r="B34" s="1" t="str">
        <f t="shared" si="0"/>
        <v>Professional, Scientific &amp; Technical Services</v>
      </c>
      <c r="C34" s="1">
        <v>1</v>
      </c>
    </row>
    <row r="35" spans="1:3" x14ac:dyDescent="0.25">
      <c r="A35" s="1" t="s">
        <v>1</v>
      </c>
      <c r="B35" s="1" t="str">
        <f t="shared" si="0"/>
        <v>Arts, Entertainment &amp; Recreation</v>
      </c>
      <c r="C35" s="1">
        <v>-3</v>
      </c>
    </row>
    <row r="36" spans="1:3" x14ac:dyDescent="0.25">
      <c r="A36" s="1" t="s">
        <v>14</v>
      </c>
      <c r="B36" s="1" t="str">
        <f t="shared" si="0"/>
        <v>Real Estate, Rental &amp; Leasing</v>
      </c>
      <c r="C36" s="1">
        <v>-2</v>
      </c>
    </row>
    <row r="37" spans="1:3" x14ac:dyDescent="0.25">
      <c r="A37" s="1" t="s">
        <v>36</v>
      </c>
      <c r="B37" s="1" t="str">
        <f t="shared" si="0"/>
        <v>Wholesale Trade</v>
      </c>
      <c r="C37" s="1">
        <v>-1</v>
      </c>
    </row>
    <row r="39" spans="1:3" x14ac:dyDescent="0.25">
      <c r="A39" s="39" t="s">
        <v>21</v>
      </c>
      <c r="B39" s="39"/>
      <c r="C39" s="39"/>
    </row>
    <row r="40" spans="1:3" x14ac:dyDescent="0.25">
      <c r="A40" s="1" t="s">
        <v>1</v>
      </c>
      <c r="B40" s="1" t="str">
        <f t="shared" ref="B40:B52" si="1">TRIM(A40)</f>
        <v>Arts, Entertainment &amp; Recreation</v>
      </c>
      <c r="C40" s="1">
        <v>9</v>
      </c>
    </row>
    <row r="41" spans="1:3" x14ac:dyDescent="0.25">
      <c r="A41" s="1" t="s">
        <v>12</v>
      </c>
      <c r="B41" s="1" t="str">
        <f t="shared" si="1"/>
        <v>Educational Services</v>
      </c>
      <c r="C41" s="1">
        <v>8</v>
      </c>
    </row>
    <row r="42" spans="1:3" x14ac:dyDescent="0.25">
      <c r="A42" s="1" t="s">
        <v>14</v>
      </c>
      <c r="B42" s="1" t="str">
        <f t="shared" si="1"/>
        <v>Real Estate, Rental &amp; Leasing</v>
      </c>
      <c r="C42" s="1">
        <v>7</v>
      </c>
    </row>
    <row r="43" spans="1:3" x14ac:dyDescent="0.25">
      <c r="A43" s="1" t="s">
        <v>8</v>
      </c>
      <c r="B43" s="1" t="str">
        <f t="shared" si="1"/>
        <v>Retail Trade</v>
      </c>
      <c r="C43" s="1">
        <v>6</v>
      </c>
    </row>
    <row r="44" spans="1:3" x14ac:dyDescent="0.25">
      <c r="A44" s="1" t="s">
        <v>5</v>
      </c>
      <c r="B44" s="1" t="str">
        <f t="shared" si="1"/>
        <v>Transportation &amp; Warehousing</v>
      </c>
      <c r="C44" s="1">
        <v>5</v>
      </c>
    </row>
    <row r="45" spans="1:3" x14ac:dyDescent="0.25">
      <c r="A45" s="1" t="s">
        <v>3</v>
      </c>
      <c r="B45" s="1" t="str">
        <f t="shared" si="1"/>
        <v>Utilities</v>
      </c>
      <c r="C45" s="1">
        <v>4</v>
      </c>
    </row>
    <row r="46" spans="1:3" x14ac:dyDescent="0.25">
      <c r="A46" s="1" t="s">
        <v>6</v>
      </c>
      <c r="B46" s="1" t="str">
        <f t="shared" si="1"/>
        <v>Wholesale Trade</v>
      </c>
      <c r="C46" s="1">
        <v>3</v>
      </c>
    </row>
    <row r="47" spans="1:3" x14ac:dyDescent="0.25">
      <c r="A47" s="1" t="s">
        <v>7</v>
      </c>
      <c r="B47" s="1" t="str">
        <f t="shared" si="1"/>
        <v>Construction</v>
      </c>
      <c r="C47" s="1">
        <v>2</v>
      </c>
    </row>
    <row r="48" spans="1:3" x14ac:dyDescent="0.25">
      <c r="A48" s="1" t="s">
        <v>15</v>
      </c>
      <c r="B48" s="1" t="str">
        <f t="shared" si="1"/>
        <v>Professional, Scientific &amp; Technical Services</v>
      </c>
      <c r="C48" s="1">
        <v>1</v>
      </c>
    </row>
    <row r="49" spans="1:3" x14ac:dyDescent="0.25">
      <c r="A49" s="1" t="s">
        <v>35</v>
      </c>
      <c r="B49" s="1" t="str">
        <f t="shared" si="1"/>
        <v>Agriculture, Forestry, Fishing &amp; Hunting</v>
      </c>
      <c r="C49" s="1">
        <v>-4</v>
      </c>
    </row>
    <row r="50" spans="1:3" x14ac:dyDescent="0.25">
      <c r="A50" s="1" t="s">
        <v>11</v>
      </c>
      <c r="B50" s="1" t="str">
        <f t="shared" si="1"/>
        <v>Finance &amp; Insurance</v>
      </c>
      <c r="C50" s="1">
        <v>-3</v>
      </c>
    </row>
    <row r="51" spans="1:3" x14ac:dyDescent="0.25">
      <c r="A51" s="1" t="s">
        <v>2</v>
      </c>
      <c r="B51" s="1" t="str">
        <f t="shared" si="1"/>
        <v>Health Care &amp; Social Assistance</v>
      </c>
      <c r="C51" s="1">
        <v>-2</v>
      </c>
    </row>
    <row r="52" spans="1:3" x14ac:dyDescent="0.25">
      <c r="A52" s="1" t="s">
        <v>28</v>
      </c>
      <c r="B52" s="1" t="str">
        <f t="shared" si="1"/>
        <v>Information</v>
      </c>
      <c r="C52" s="1">
        <v>-1</v>
      </c>
    </row>
    <row r="54" spans="1:3" x14ac:dyDescent="0.25">
      <c r="A54" s="39" t="s">
        <v>24</v>
      </c>
      <c r="B54" s="39"/>
      <c r="C54" s="39"/>
    </row>
    <row r="55" spans="1:3" x14ac:dyDescent="0.25">
      <c r="A55" s="1" t="s">
        <v>31</v>
      </c>
      <c r="B55" s="1" t="str">
        <f t="shared" ref="B55:B71" si="2">TRIM(A55)</f>
        <v>Accommodation &amp; Food Services</v>
      </c>
      <c r="C55" s="1">
        <v>17</v>
      </c>
    </row>
    <row r="56" spans="1:3" x14ac:dyDescent="0.25">
      <c r="A56" s="1" t="s">
        <v>33</v>
      </c>
      <c r="B56" s="1" t="str">
        <f t="shared" si="2"/>
        <v>Mining</v>
      </c>
      <c r="C56" s="1">
        <v>16</v>
      </c>
    </row>
    <row r="57" spans="1:3" x14ac:dyDescent="0.25">
      <c r="A57" s="1" t="s">
        <v>14</v>
      </c>
      <c r="B57" s="1" t="str">
        <f t="shared" si="2"/>
        <v>Real Estate, Rental &amp; Leasing</v>
      </c>
      <c r="C57" s="1">
        <v>15</v>
      </c>
    </row>
    <row r="58" spans="1:3" x14ac:dyDescent="0.25">
      <c r="A58" s="1" t="s">
        <v>7</v>
      </c>
      <c r="B58" s="1" t="str">
        <f t="shared" si="2"/>
        <v>Construction</v>
      </c>
      <c r="C58" s="1">
        <v>14</v>
      </c>
    </row>
    <row r="59" spans="1:3" x14ac:dyDescent="0.25">
      <c r="A59" s="1" t="s">
        <v>9</v>
      </c>
      <c r="B59" s="1" t="str">
        <f t="shared" si="2"/>
        <v>Management of Companies &amp; Support Services</v>
      </c>
      <c r="C59" s="1">
        <v>13</v>
      </c>
    </row>
    <row r="60" spans="1:3" x14ac:dyDescent="0.25">
      <c r="A60" s="1" t="s">
        <v>13</v>
      </c>
      <c r="B60" s="1" t="str">
        <f t="shared" si="2"/>
        <v>Agriculture, Forestry, Fishing &amp; Hunting</v>
      </c>
      <c r="C60" s="1">
        <v>12</v>
      </c>
    </row>
    <row r="61" spans="1:3" x14ac:dyDescent="0.25">
      <c r="A61" s="1" t="s">
        <v>22</v>
      </c>
      <c r="B61" s="1" t="str">
        <f t="shared" si="2"/>
        <v>Other Services</v>
      </c>
      <c r="C61" s="1">
        <v>11</v>
      </c>
    </row>
    <row r="62" spans="1:3" x14ac:dyDescent="0.25">
      <c r="A62" s="1" t="s">
        <v>17</v>
      </c>
      <c r="B62" s="1" t="str">
        <f t="shared" si="2"/>
        <v>Information</v>
      </c>
      <c r="C62" s="1">
        <v>10</v>
      </c>
    </row>
    <row r="63" spans="1:3" x14ac:dyDescent="0.25">
      <c r="A63" s="1" t="s">
        <v>10</v>
      </c>
      <c r="B63" s="1" t="str">
        <f t="shared" si="2"/>
        <v>Public Administration</v>
      </c>
      <c r="C63" s="1">
        <v>9</v>
      </c>
    </row>
    <row r="64" spans="1:3" x14ac:dyDescent="0.25">
      <c r="A64" s="1" t="s">
        <v>3</v>
      </c>
      <c r="B64" s="1" t="str">
        <f t="shared" si="2"/>
        <v>Utilities</v>
      </c>
      <c r="C64" s="1">
        <v>8</v>
      </c>
    </row>
    <row r="65" spans="1:3" x14ac:dyDescent="0.25">
      <c r="A65" s="1" t="s">
        <v>6</v>
      </c>
      <c r="B65" s="1" t="str">
        <f t="shared" si="2"/>
        <v>Wholesale Trade</v>
      </c>
      <c r="C65" s="1">
        <v>7</v>
      </c>
    </row>
    <row r="66" spans="1:3" x14ac:dyDescent="0.25">
      <c r="A66" s="1" t="s">
        <v>8</v>
      </c>
      <c r="B66" s="1" t="str">
        <f t="shared" si="2"/>
        <v>Retail Trade</v>
      </c>
      <c r="C66" s="1">
        <v>6</v>
      </c>
    </row>
    <row r="67" spans="1:3" x14ac:dyDescent="0.25">
      <c r="A67" s="1" t="s">
        <v>5</v>
      </c>
      <c r="B67" s="1" t="str">
        <f t="shared" si="2"/>
        <v>Transportation &amp; Warehousing</v>
      </c>
      <c r="C67" s="1">
        <v>5</v>
      </c>
    </row>
    <row r="68" spans="1:3" x14ac:dyDescent="0.25">
      <c r="A68" s="1" t="s">
        <v>12</v>
      </c>
      <c r="B68" s="1" t="str">
        <f t="shared" si="2"/>
        <v>Educational Services</v>
      </c>
      <c r="C68" s="1">
        <v>4</v>
      </c>
    </row>
    <row r="69" spans="1:3" x14ac:dyDescent="0.25">
      <c r="A69" s="1" t="s">
        <v>2</v>
      </c>
      <c r="B69" s="1" t="str">
        <f t="shared" si="2"/>
        <v>Health Care &amp; Social Assistance</v>
      </c>
      <c r="C69" s="1">
        <v>3</v>
      </c>
    </row>
    <row r="70" spans="1:3" x14ac:dyDescent="0.25">
      <c r="A70" s="1" t="s">
        <v>32</v>
      </c>
      <c r="B70" s="1" t="str">
        <f t="shared" si="2"/>
        <v>Professional, Scientific &amp; Technical Services</v>
      </c>
      <c r="C70" s="1">
        <v>2</v>
      </c>
    </row>
    <row r="71" spans="1:3" x14ac:dyDescent="0.25">
      <c r="A71" s="1" t="s">
        <v>23</v>
      </c>
      <c r="B71" s="1" t="str">
        <f t="shared" si="2"/>
        <v>Finance &amp; Insurance</v>
      </c>
      <c r="C71" s="1">
        <v>1</v>
      </c>
    </row>
    <row r="73" spans="1:3" x14ac:dyDescent="0.25">
      <c r="A73" s="39" t="s">
        <v>26</v>
      </c>
      <c r="B73" s="39"/>
      <c r="C73" s="39"/>
    </row>
    <row r="74" spans="1:3" x14ac:dyDescent="0.25">
      <c r="A74" s="1" t="s">
        <v>1</v>
      </c>
      <c r="B74" s="1" t="str">
        <f t="shared" ref="B74:B89" si="3">TRIM(A74)</f>
        <v>Arts, Entertainment &amp; Recreation</v>
      </c>
      <c r="C74" s="1">
        <v>7</v>
      </c>
    </row>
    <row r="75" spans="1:3" x14ac:dyDescent="0.25">
      <c r="A75" s="1" t="s">
        <v>4</v>
      </c>
      <c r="B75" s="1" t="str">
        <f t="shared" si="3"/>
        <v>Accommodation &amp; Food Services</v>
      </c>
      <c r="C75" s="1">
        <v>6</v>
      </c>
    </row>
    <row r="76" spans="1:3" x14ac:dyDescent="0.25">
      <c r="A76" s="1" t="s">
        <v>22</v>
      </c>
      <c r="B76" s="1" t="str">
        <f t="shared" si="3"/>
        <v>Other Services</v>
      </c>
      <c r="C76" s="1">
        <v>5</v>
      </c>
    </row>
    <row r="77" spans="1:3" x14ac:dyDescent="0.25">
      <c r="A77" s="1" t="s">
        <v>2</v>
      </c>
      <c r="B77" s="1" t="str">
        <f t="shared" si="3"/>
        <v>Health Care &amp; Social Assistance</v>
      </c>
      <c r="C77" s="1">
        <v>4</v>
      </c>
    </row>
    <row r="78" spans="1:3" x14ac:dyDescent="0.25">
      <c r="A78" s="1" t="s">
        <v>7</v>
      </c>
      <c r="B78" s="1" t="str">
        <f t="shared" si="3"/>
        <v>Construction</v>
      </c>
      <c r="C78" s="1">
        <v>3</v>
      </c>
    </row>
    <row r="79" spans="1:3" x14ac:dyDescent="0.25">
      <c r="A79" s="1" t="s">
        <v>6</v>
      </c>
      <c r="B79" s="1" t="str">
        <f t="shared" si="3"/>
        <v>Wholesale Trade</v>
      </c>
      <c r="C79" s="1">
        <v>2</v>
      </c>
    </row>
    <row r="80" spans="1:3" x14ac:dyDescent="0.25">
      <c r="A80" s="1" t="s">
        <v>40</v>
      </c>
      <c r="B80" s="1" t="str">
        <f t="shared" si="3"/>
        <v>Utilities</v>
      </c>
      <c r="C80" s="1">
        <v>1</v>
      </c>
    </row>
    <row r="81" spans="1:3" x14ac:dyDescent="0.25">
      <c r="A81" s="1" t="s">
        <v>25</v>
      </c>
      <c r="B81" s="1" t="str">
        <f t="shared" si="3"/>
        <v>Retail Trade</v>
      </c>
      <c r="C81" s="1">
        <v>-9</v>
      </c>
    </row>
    <row r="82" spans="1:3" x14ac:dyDescent="0.25">
      <c r="A82" s="1" t="s">
        <v>14</v>
      </c>
      <c r="B82" s="1" t="str">
        <f t="shared" si="3"/>
        <v>Real Estate, Rental &amp; Leasing</v>
      </c>
      <c r="C82" s="1">
        <v>-8</v>
      </c>
    </row>
    <row r="83" spans="1:3" x14ac:dyDescent="0.25">
      <c r="A83" s="1" t="s">
        <v>9</v>
      </c>
      <c r="B83" s="1" t="str">
        <f t="shared" si="3"/>
        <v>Management of Companies &amp; Support Services</v>
      </c>
      <c r="C83" s="1">
        <v>-7</v>
      </c>
    </row>
    <row r="84" spans="1:3" x14ac:dyDescent="0.25">
      <c r="A84" s="1" t="s">
        <v>13</v>
      </c>
      <c r="B84" s="1" t="str">
        <f t="shared" si="3"/>
        <v>Agriculture, Forestry, Fishing &amp; Hunting</v>
      </c>
      <c r="C84" s="1">
        <v>-6</v>
      </c>
    </row>
    <row r="85" spans="1:3" x14ac:dyDescent="0.25">
      <c r="A85" s="1" t="s">
        <v>33</v>
      </c>
      <c r="B85" s="1" t="str">
        <f t="shared" si="3"/>
        <v>Mining</v>
      </c>
      <c r="C85" s="1">
        <v>-5</v>
      </c>
    </row>
    <row r="86" spans="1:3" x14ac:dyDescent="0.25">
      <c r="A86" s="1" t="s">
        <v>17</v>
      </c>
      <c r="B86" s="1" t="str">
        <f t="shared" si="3"/>
        <v>Information</v>
      </c>
      <c r="C86" s="1">
        <v>-4</v>
      </c>
    </row>
    <row r="87" spans="1:3" x14ac:dyDescent="0.25">
      <c r="A87" s="1" t="s">
        <v>5</v>
      </c>
      <c r="B87" s="1" t="str">
        <f t="shared" si="3"/>
        <v>Transportation &amp; Warehousing</v>
      </c>
      <c r="C87" s="1">
        <v>-3</v>
      </c>
    </row>
    <row r="88" spans="1:3" x14ac:dyDescent="0.25">
      <c r="A88" s="1" t="s">
        <v>10</v>
      </c>
      <c r="B88" s="1" t="str">
        <f t="shared" si="3"/>
        <v>Public Administration</v>
      </c>
      <c r="C88" s="1">
        <v>-2</v>
      </c>
    </row>
    <row r="89" spans="1:3" x14ac:dyDescent="0.25">
      <c r="A89" s="1" t="s">
        <v>15</v>
      </c>
      <c r="B89" s="1" t="str">
        <f t="shared" si="3"/>
        <v>Professional, Scientific &amp; Technical Services</v>
      </c>
      <c r="C89" s="1">
        <v>-1</v>
      </c>
    </row>
    <row r="91" spans="1:3" x14ac:dyDescent="0.25">
      <c r="A91" s="39" t="s">
        <v>30</v>
      </c>
      <c r="B91" s="39"/>
      <c r="C91" s="39"/>
    </row>
    <row r="92" spans="1:3" x14ac:dyDescent="0.25">
      <c r="A92" s="1" t="s">
        <v>25</v>
      </c>
      <c r="B92" s="1" t="str">
        <f t="shared" ref="B92:B109" si="4">TRIM(A92)</f>
        <v>Retail Trade</v>
      </c>
      <c r="C92" s="1">
        <v>18</v>
      </c>
    </row>
    <row r="93" spans="1:3" x14ac:dyDescent="0.25">
      <c r="A93" s="1" t="s">
        <v>9</v>
      </c>
      <c r="B93" s="1" t="str">
        <f t="shared" si="4"/>
        <v>Management of Companies &amp; Support Services</v>
      </c>
      <c r="C93" s="1">
        <v>17</v>
      </c>
    </row>
    <row r="94" spans="1:3" x14ac:dyDescent="0.25">
      <c r="A94" s="1" t="s">
        <v>6</v>
      </c>
      <c r="B94" s="1" t="str">
        <f t="shared" si="4"/>
        <v>Wholesale Trade</v>
      </c>
      <c r="C94" s="1">
        <v>16</v>
      </c>
    </row>
    <row r="95" spans="1:3" x14ac:dyDescent="0.25">
      <c r="A95" s="1" t="s">
        <v>3</v>
      </c>
      <c r="B95" s="1" t="str">
        <f t="shared" si="4"/>
        <v>Utilities</v>
      </c>
      <c r="C95" s="1">
        <v>15</v>
      </c>
    </row>
    <row r="96" spans="1:3" x14ac:dyDescent="0.25">
      <c r="A96" s="1" t="s">
        <v>7</v>
      </c>
      <c r="B96" s="1" t="str">
        <f t="shared" si="4"/>
        <v>Construction</v>
      </c>
      <c r="C96" s="1">
        <v>14</v>
      </c>
    </row>
    <row r="97" spans="1:3" x14ac:dyDescent="0.25">
      <c r="A97" s="1" t="s">
        <v>33</v>
      </c>
      <c r="B97" s="1" t="str">
        <f t="shared" si="4"/>
        <v>Mining</v>
      </c>
      <c r="C97" s="1">
        <v>13</v>
      </c>
    </row>
    <row r="98" spans="1:3" x14ac:dyDescent="0.25">
      <c r="A98" s="1" t="s">
        <v>10</v>
      </c>
      <c r="B98" s="1" t="str">
        <f t="shared" si="4"/>
        <v>Public Administration</v>
      </c>
      <c r="C98" s="1">
        <v>12</v>
      </c>
    </row>
    <row r="99" spans="1:3" x14ac:dyDescent="0.25">
      <c r="A99" s="1" t="s">
        <v>17</v>
      </c>
      <c r="B99" s="1" t="str">
        <f t="shared" si="4"/>
        <v>Information</v>
      </c>
      <c r="C99" s="1">
        <v>11</v>
      </c>
    </row>
    <row r="100" spans="1:3" x14ac:dyDescent="0.25">
      <c r="A100" s="1" t="s">
        <v>12</v>
      </c>
      <c r="B100" s="1" t="str">
        <f t="shared" si="4"/>
        <v>Educational Services</v>
      </c>
      <c r="C100" s="1">
        <v>10</v>
      </c>
    </row>
    <row r="101" spans="1:3" x14ac:dyDescent="0.25">
      <c r="A101" s="1" t="s">
        <v>13</v>
      </c>
      <c r="B101" s="1" t="str">
        <f t="shared" si="4"/>
        <v>Agriculture, Forestry, Fishing &amp; Hunting</v>
      </c>
      <c r="C101" s="1">
        <v>9</v>
      </c>
    </row>
    <row r="102" spans="1:3" x14ac:dyDescent="0.25">
      <c r="A102" s="1" t="s">
        <v>22</v>
      </c>
      <c r="B102" s="1" t="str">
        <f t="shared" si="4"/>
        <v>Other Services</v>
      </c>
      <c r="C102" s="1">
        <v>8</v>
      </c>
    </row>
    <row r="103" spans="1:3" x14ac:dyDescent="0.25">
      <c r="A103" s="1" t="s">
        <v>4</v>
      </c>
      <c r="B103" s="1" t="str">
        <f t="shared" si="4"/>
        <v>Accommodation &amp; Food Services</v>
      </c>
      <c r="C103" s="1">
        <v>7</v>
      </c>
    </row>
    <row r="104" spans="1:3" x14ac:dyDescent="0.25">
      <c r="A104" s="1" t="s">
        <v>32</v>
      </c>
      <c r="B104" s="1" t="str">
        <f t="shared" si="4"/>
        <v>Professional, Scientific &amp; Technical Services</v>
      </c>
      <c r="C104" s="1">
        <v>6</v>
      </c>
    </row>
    <row r="105" spans="1:3" x14ac:dyDescent="0.25">
      <c r="A105" s="1" t="s">
        <v>5</v>
      </c>
      <c r="B105" s="1" t="str">
        <f t="shared" si="4"/>
        <v>Transportation &amp; Warehousing</v>
      </c>
      <c r="C105" s="1">
        <v>5</v>
      </c>
    </row>
    <row r="106" spans="1:3" x14ac:dyDescent="0.25">
      <c r="A106" s="1" t="s">
        <v>2</v>
      </c>
      <c r="B106" s="1" t="str">
        <f t="shared" si="4"/>
        <v>Health Care &amp; Social Assistance</v>
      </c>
      <c r="C106" s="1">
        <v>4</v>
      </c>
    </row>
    <row r="107" spans="1:3" x14ac:dyDescent="0.25">
      <c r="A107" s="1" t="s">
        <v>42</v>
      </c>
      <c r="B107" s="1" t="str">
        <f t="shared" si="4"/>
        <v>Arts, Entertainment &amp; Recreation</v>
      </c>
      <c r="C107" s="1">
        <v>3</v>
      </c>
    </row>
    <row r="108" spans="1:3" x14ac:dyDescent="0.25">
      <c r="A108" s="1" t="s">
        <v>14</v>
      </c>
      <c r="B108" s="1" t="str">
        <f t="shared" si="4"/>
        <v>Real Estate, Rental &amp; Leasing</v>
      </c>
      <c r="C108" s="1">
        <v>2</v>
      </c>
    </row>
    <row r="109" spans="1:3" x14ac:dyDescent="0.25">
      <c r="A109" s="1" t="s">
        <v>23</v>
      </c>
      <c r="B109" s="1" t="str">
        <f t="shared" si="4"/>
        <v>Finance &amp; Insurance</v>
      </c>
      <c r="C109" s="1">
        <v>1</v>
      </c>
    </row>
    <row r="111" spans="1:3" x14ac:dyDescent="0.25">
      <c r="A111" s="39" t="s">
        <v>3818</v>
      </c>
      <c r="B111" s="39"/>
      <c r="C111" s="39"/>
    </row>
    <row r="112" spans="1:3" x14ac:dyDescent="0.25">
      <c r="A112" s="2" t="s">
        <v>34</v>
      </c>
      <c r="B112" s="1" t="str">
        <f t="shared" ref="B112:B128" si="5">TRIM(A112)</f>
        <v>Public Administration</v>
      </c>
      <c r="C112" s="2">
        <v>15</v>
      </c>
    </row>
    <row r="113" spans="1:3" x14ac:dyDescent="0.25">
      <c r="A113" s="2" t="s">
        <v>4</v>
      </c>
      <c r="B113" s="1" t="str">
        <f t="shared" si="5"/>
        <v>Accommodation &amp; Food Services</v>
      </c>
      <c r="C113" s="2">
        <v>14</v>
      </c>
    </row>
    <row r="114" spans="1:3" x14ac:dyDescent="0.25">
      <c r="A114" s="2" t="s">
        <v>12</v>
      </c>
      <c r="B114" s="1" t="str">
        <f t="shared" si="5"/>
        <v>Educational Services</v>
      </c>
      <c r="C114" s="2">
        <v>13</v>
      </c>
    </row>
    <row r="115" spans="1:3" x14ac:dyDescent="0.25">
      <c r="A115" s="2" t="s">
        <v>22</v>
      </c>
      <c r="B115" s="1" t="str">
        <f t="shared" si="5"/>
        <v>Other Services</v>
      </c>
      <c r="C115" s="2">
        <v>12</v>
      </c>
    </row>
    <row r="116" spans="1:3" x14ac:dyDescent="0.25">
      <c r="A116" s="2" t="s">
        <v>8</v>
      </c>
      <c r="B116" s="1" t="str">
        <f t="shared" si="5"/>
        <v>Retail Trade</v>
      </c>
      <c r="C116" s="2">
        <v>11</v>
      </c>
    </row>
    <row r="117" spans="1:3" x14ac:dyDescent="0.25">
      <c r="A117" s="2" t="s">
        <v>2</v>
      </c>
      <c r="B117" s="1" t="str">
        <f t="shared" si="5"/>
        <v>Health Care &amp; Social Assistance</v>
      </c>
      <c r="C117" s="2">
        <v>10</v>
      </c>
    </row>
    <row r="118" spans="1:3" x14ac:dyDescent="0.25">
      <c r="A118" s="2" t="s">
        <v>3</v>
      </c>
      <c r="B118" s="1" t="str">
        <f t="shared" si="5"/>
        <v>Utilities</v>
      </c>
      <c r="C118" s="2">
        <v>9</v>
      </c>
    </row>
    <row r="119" spans="1:3" x14ac:dyDescent="0.25">
      <c r="A119" s="2" t="s">
        <v>7</v>
      </c>
      <c r="B119" s="1" t="str">
        <f t="shared" si="5"/>
        <v>Construction</v>
      </c>
      <c r="C119" s="2">
        <v>8</v>
      </c>
    </row>
    <row r="120" spans="1:3" x14ac:dyDescent="0.25">
      <c r="A120" s="2" t="s">
        <v>17</v>
      </c>
      <c r="B120" s="1" t="str">
        <f t="shared" si="5"/>
        <v>Information</v>
      </c>
      <c r="C120" s="2">
        <v>7</v>
      </c>
    </row>
    <row r="121" spans="1:3" x14ac:dyDescent="0.25">
      <c r="A121" s="2" t="s">
        <v>13</v>
      </c>
      <c r="B121" s="1" t="str">
        <f t="shared" si="5"/>
        <v>Agriculture, Forestry, Fishing &amp; Hunting</v>
      </c>
      <c r="C121" s="2">
        <v>6</v>
      </c>
    </row>
    <row r="122" spans="1:3" x14ac:dyDescent="0.25">
      <c r="A122" s="2" t="s">
        <v>11</v>
      </c>
      <c r="B122" s="1" t="str">
        <f t="shared" si="5"/>
        <v>Finance &amp; Insurance</v>
      </c>
      <c r="C122" s="2">
        <v>5</v>
      </c>
    </row>
    <row r="123" spans="1:3" x14ac:dyDescent="0.25">
      <c r="A123" s="2" t="s">
        <v>5</v>
      </c>
      <c r="B123" s="1" t="str">
        <f t="shared" si="5"/>
        <v>Transportation &amp; Warehousing</v>
      </c>
      <c r="C123" s="2">
        <v>4</v>
      </c>
    </row>
    <row r="124" spans="1:3" x14ac:dyDescent="0.25">
      <c r="A124" s="2" t="s">
        <v>33</v>
      </c>
      <c r="B124" s="1" t="str">
        <f t="shared" si="5"/>
        <v>Mining</v>
      </c>
      <c r="C124" s="2">
        <v>3</v>
      </c>
    </row>
    <row r="125" spans="1:3" x14ac:dyDescent="0.25">
      <c r="A125" s="2" t="s">
        <v>6</v>
      </c>
      <c r="B125" s="1" t="str">
        <f t="shared" si="5"/>
        <v>Wholesale Trade</v>
      </c>
      <c r="C125" s="2">
        <v>2</v>
      </c>
    </row>
    <row r="126" spans="1:3" x14ac:dyDescent="0.25">
      <c r="A126" s="2" t="s">
        <v>15</v>
      </c>
      <c r="B126" s="1" t="str">
        <f t="shared" si="5"/>
        <v>Professional, Scientific &amp; Technical Services</v>
      </c>
      <c r="C126" s="2">
        <v>1</v>
      </c>
    </row>
    <row r="127" spans="1:3" x14ac:dyDescent="0.25">
      <c r="A127" s="2" t="s">
        <v>1</v>
      </c>
      <c r="B127" s="1" t="str">
        <f t="shared" si="5"/>
        <v>Arts, Entertainment &amp; Recreation</v>
      </c>
      <c r="C127" s="2">
        <v>-2</v>
      </c>
    </row>
    <row r="128" spans="1:3" x14ac:dyDescent="0.25">
      <c r="A128" s="2" t="s">
        <v>29</v>
      </c>
      <c r="B128" s="1" t="str">
        <f t="shared" si="5"/>
        <v>Real Estate, Rental &amp; Leasing</v>
      </c>
      <c r="C128" s="2">
        <v>-1</v>
      </c>
    </row>
  </sheetData>
  <mergeCells count="7">
    <mergeCell ref="A111:C111"/>
    <mergeCell ref="A91:C91"/>
    <mergeCell ref="A1:C1"/>
    <mergeCell ref="A21:C21"/>
    <mergeCell ref="A39:C39"/>
    <mergeCell ref="A54:C54"/>
    <mergeCell ref="A73:C73"/>
  </mergeCells>
  <pageMargins left="0.7" right="0.7" top="0.75" bottom="0.75" header="0.51180555555555496" footer="0.51180555555555496"/>
  <pageSetup paperSize="9" firstPageNumber="0"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I134"/>
  <sheetViews>
    <sheetView zoomScaleNormal="100" workbookViewId="0">
      <selection activeCell="F1" sqref="F1:F1048576"/>
    </sheetView>
  </sheetViews>
  <sheetFormatPr defaultRowHeight="15" x14ac:dyDescent="0.25"/>
  <cols>
    <col min="1" max="1" width="41.28515625" customWidth="1"/>
    <col min="2" max="2" width="43.42578125" bestFit="1" customWidth="1"/>
  </cols>
  <sheetData>
    <row r="1" spans="1:7" x14ac:dyDescent="0.25">
      <c r="A1" s="39" t="s">
        <v>0</v>
      </c>
      <c r="B1" s="39"/>
      <c r="C1" s="39"/>
    </row>
    <row r="2" spans="1:7" x14ac:dyDescent="0.25">
      <c r="A2" s="1" t="s">
        <v>25</v>
      </c>
      <c r="B2" s="1" t="str">
        <f t="shared" ref="B2:B19" si="0">TRIM(A2)</f>
        <v>Retail Trade</v>
      </c>
      <c r="C2" s="1">
        <v>17</v>
      </c>
    </row>
    <row r="3" spans="1:7" x14ac:dyDescent="0.25">
      <c r="A3" s="1" t="s">
        <v>42</v>
      </c>
      <c r="B3" s="1" t="str">
        <f t="shared" si="0"/>
        <v>Arts, Entertainment &amp; Recreation</v>
      </c>
      <c r="C3" s="1">
        <v>16</v>
      </c>
      <c r="F3" t="s">
        <v>31</v>
      </c>
      <c r="G3" s="29" t="s">
        <v>3889</v>
      </c>
    </row>
    <row r="4" spans="1:7" x14ac:dyDescent="0.25">
      <c r="A4" s="1" t="s">
        <v>9</v>
      </c>
      <c r="B4" s="1" t="str">
        <f t="shared" si="0"/>
        <v>Management of Companies &amp; Support Services</v>
      </c>
      <c r="C4" s="1">
        <v>15</v>
      </c>
      <c r="F4" t="s">
        <v>20</v>
      </c>
      <c r="G4" s="29" t="s">
        <v>3890</v>
      </c>
    </row>
    <row r="5" spans="1:7" x14ac:dyDescent="0.25">
      <c r="A5" s="1" t="s">
        <v>12</v>
      </c>
      <c r="B5" s="1" t="str">
        <f t="shared" si="0"/>
        <v>Educational Services</v>
      </c>
      <c r="C5" s="1">
        <v>14</v>
      </c>
      <c r="F5" t="s">
        <v>27</v>
      </c>
      <c r="G5" s="29" t="s">
        <v>3891</v>
      </c>
    </row>
    <row r="6" spans="1:7" x14ac:dyDescent="0.25">
      <c r="A6" s="1" t="s">
        <v>5</v>
      </c>
      <c r="B6" s="1" t="str">
        <f t="shared" si="0"/>
        <v>Transportation &amp; Warehousing</v>
      </c>
      <c r="C6" s="1">
        <v>13</v>
      </c>
      <c r="F6" t="s">
        <v>23</v>
      </c>
      <c r="G6" s="29" t="s">
        <v>3892</v>
      </c>
    </row>
    <row r="7" spans="1:7" x14ac:dyDescent="0.25">
      <c r="A7" s="1" t="s">
        <v>14</v>
      </c>
      <c r="B7" s="1" t="str">
        <f t="shared" si="0"/>
        <v>Real Estate, Rental &amp; Leasing</v>
      </c>
      <c r="C7" s="1">
        <v>12</v>
      </c>
      <c r="F7" t="s">
        <v>43</v>
      </c>
      <c r="G7" s="29" t="s">
        <v>3893</v>
      </c>
    </row>
    <row r="8" spans="1:7" x14ac:dyDescent="0.25">
      <c r="A8" s="1" t="s">
        <v>4</v>
      </c>
      <c r="B8" s="1" t="str">
        <f t="shared" si="0"/>
        <v>Accommodation &amp; Food Services</v>
      </c>
      <c r="C8" s="1">
        <v>11</v>
      </c>
      <c r="F8" t="s">
        <v>28</v>
      </c>
      <c r="G8" s="29" t="s">
        <v>3894</v>
      </c>
    </row>
    <row r="9" spans="1:7" x14ac:dyDescent="0.25">
      <c r="A9" s="1" t="s">
        <v>7</v>
      </c>
      <c r="B9" s="1" t="str">
        <f t="shared" si="0"/>
        <v>Construction</v>
      </c>
      <c r="C9" s="1">
        <v>10</v>
      </c>
      <c r="F9" t="s">
        <v>41</v>
      </c>
      <c r="G9" s="29" t="s">
        <v>3895</v>
      </c>
    </row>
    <row r="10" spans="1:7" x14ac:dyDescent="0.25">
      <c r="A10" s="1" t="s">
        <v>33</v>
      </c>
      <c r="B10" s="1" t="str">
        <f t="shared" si="0"/>
        <v>Mining</v>
      </c>
      <c r="C10" s="1">
        <v>9</v>
      </c>
      <c r="F10" t="s">
        <v>15</v>
      </c>
      <c r="G10" s="29" t="s">
        <v>3896</v>
      </c>
    </row>
    <row r="11" spans="1:7" x14ac:dyDescent="0.25">
      <c r="A11" s="1" t="s">
        <v>32</v>
      </c>
      <c r="B11" s="1" t="str">
        <f t="shared" si="0"/>
        <v>Professional, Scientific &amp; Technical Services</v>
      </c>
      <c r="C11" s="1">
        <v>8</v>
      </c>
      <c r="F11" t="s">
        <v>34</v>
      </c>
      <c r="G11" s="29" t="s">
        <v>3897</v>
      </c>
    </row>
    <row r="12" spans="1:7" x14ac:dyDescent="0.25">
      <c r="A12" s="1" t="s">
        <v>22</v>
      </c>
      <c r="B12" s="1" t="str">
        <f t="shared" si="0"/>
        <v>Other Services</v>
      </c>
      <c r="C12" s="1">
        <v>7</v>
      </c>
      <c r="F12" t="s">
        <v>29</v>
      </c>
      <c r="G12" s="29" t="s">
        <v>3898</v>
      </c>
    </row>
    <row r="13" spans="1:7" x14ac:dyDescent="0.25">
      <c r="A13" s="1" t="s">
        <v>17</v>
      </c>
      <c r="B13" s="1" t="str">
        <f t="shared" si="0"/>
        <v>Information</v>
      </c>
      <c r="C13" s="1">
        <v>6</v>
      </c>
      <c r="F13" t="s">
        <v>25</v>
      </c>
      <c r="G13" s="29" t="s">
        <v>3899</v>
      </c>
    </row>
    <row r="14" spans="1:7" x14ac:dyDescent="0.25">
      <c r="A14" s="1" t="s">
        <v>2</v>
      </c>
      <c r="B14" s="1" t="str">
        <f t="shared" si="0"/>
        <v>Health Care &amp; Social Assistance</v>
      </c>
      <c r="C14" s="1">
        <v>5</v>
      </c>
      <c r="F14" t="s">
        <v>38</v>
      </c>
      <c r="G14" s="29" t="s">
        <v>3900</v>
      </c>
    </row>
    <row r="15" spans="1:7" x14ac:dyDescent="0.25">
      <c r="A15" s="1" t="s">
        <v>3</v>
      </c>
      <c r="B15" s="1" t="str">
        <f t="shared" si="0"/>
        <v>Utilities</v>
      </c>
      <c r="C15" s="1">
        <v>4</v>
      </c>
      <c r="F15" t="s">
        <v>40</v>
      </c>
      <c r="G15" s="29" t="s">
        <v>3901</v>
      </c>
    </row>
    <row r="16" spans="1:7" x14ac:dyDescent="0.25">
      <c r="A16" s="1" t="s">
        <v>10</v>
      </c>
      <c r="B16" s="1" t="str">
        <f t="shared" si="0"/>
        <v>Public Administration</v>
      </c>
      <c r="C16" s="1">
        <v>3</v>
      </c>
      <c r="F16" t="s">
        <v>36</v>
      </c>
      <c r="G16" s="29" t="s">
        <v>3902</v>
      </c>
    </row>
    <row r="17" spans="1:9" x14ac:dyDescent="0.25">
      <c r="A17" s="1" t="s">
        <v>6</v>
      </c>
      <c r="B17" s="1" t="str">
        <f t="shared" si="0"/>
        <v>Wholesale Trade</v>
      </c>
      <c r="C17" s="1">
        <v>2</v>
      </c>
    </row>
    <row r="18" spans="1:9" x14ac:dyDescent="0.25">
      <c r="A18" s="1" t="s">
        <v>23</v>
      </c>
      <c r="B18" s="1" t="str">
        <f t="shared" si="0"/>
        <v>Finance &amp; Insurance</v>
      </c>
      <c r="C18" s="1">
        <v>1</v>
      </c>
      <c r="I18" s="29"/>
    </row>
    <row r="19" spans="1:9" x14ac:dyDescent="0.25">
      <c r="A19" s="31" t="s">
        <v>35</v>
      </c>
      <c r="B19" s="1" t="str">
        <f t="shared" si="0"/>
        <v>Agriculture, Forestry, Fishing &amp; Hunting</v>
      </c>
      <c r="C19" s="1">
        <v>-1</v>
      </c>
    </row>
    <row r="21" spans="1:9" x14ac:dyDescent="0.25">
      <c r="A21" s="39" t="s">
        <v>19</v>
      </c>
      <c r="B21" s="39"/>
      <c r="C21" s="39"/>
    </row>
    <row r="22" spans="1:9" x14ac:dyDescent="0.25">
      <c r="A22" s="1" t="s">
        <v>25</v>
      </c>
      <c r="B22" s="1" t="str">
        <f t="shared" ref="B22:B39" si="1">TRIM(A22)</f>
        <v>Retail Trade</v>
      </c>
      <c r="C22" s="1">
        <v>17</v>
      </c>
    </row>
    <row r="23" spans="1:9" x14ac:dyDescent="0.25">
      <c r="A23" s="1" t="s">
        <v>42</v>
      </c>
      <c r="B23" s="1" t="str">
        <f t="shared" si="1"/>
        <v>Arts, Entertainment &amp; Recreation</v>
      </c>
      <c r="C23" s="1">
        <v>16</v>
      </c>
    </row>
    <row r="24" spans="1:9" x14ac:dyDescent="0.25">
      <c r="A24" s="1" t="s">
        <v>22</v>
      </c>
      <c r="B24" s="1" t="str">
        <f t="shared" si="1"/>
        <v>Other Services</v>
      </c>
      <c r="C24" s="1">
        <v>15</v>
      </c>
    </row>
    <row r="25" spans="1:9" x14ac:dyDescent="0.25">
      <c r="A25" s="1" t="s">
        <v>14</v>
      </c>
      <c r="B25" s="1" t="str">
        <f t="shared" si="1"/>
        <v>Real Estate, Rental &amp; Leasing</v>
      </c>
      <c r="C25" s="1">
        <v>14</v>
      </c>
    </row>
    <row r="26" spans="1:9" x14ac:dyDescent="0.25">
      <c r="A26" s="1" t="s">
        <v>12</v>
      </c>
      <c r="B26" s="1" t="str">
        <f t="shared" si="1"/>
        <v>Educational Services</v>
      </c>
      <c r="C26" s="1">
        <v>13</v>
      </c>
    </row>
    <row r="27" spans="1:9" x14ac:dyDescent="0.25">
      <c r="A27" s="1" t="s">
        <v>32</v>
      </c>
      <c r="B27" s="1" t="str">
        <f t="shared" si="1"/>
        <v>Professional, Scientific &amp; Technical Services</v>
      </c>
      <c r="C27" s="1">
        <v>12</v>
      </c>
    </row>
    <row r="28" spans="1:9" x14ac:dyDescent="0.25">
      <c r="A28" s="1" t="s">
        <v>33</v>
      </c>
      <c r="B28" s="1" t="str">
        <f t="shared" si="1"/>
        <v>Mining</v>
      </c>
      <c r="C28" s="1">
        <v>11</v>
      </c>
    </row>
    <row r="29" spans="1:9" x14ac:dyDescent="0.25">
      <c r="A29" s="1" t="s">
        <v>5</v>
      </c>
      <c r="B29" s="1" t="str">
        <f t="shared" si="1"/>
        <v>Transportation &amp; Warehousing</v>
      </c>
      <c r="C29" s="1">
        <v>10</v>
      </c>
    </row>
    <row r="30" spans="1:9" x14ac:dyDescent="0.25">
      <c r="A30" s="1" t="s">
        <v>10</v>
      </c>
      <c r="B30" s="1" t="str">
        <f t="shared" si="1"/>
        <v>Public Administration</v>
      </c>
      <c r="C30" s="1">
        <v>9</v>
      </c>
    </row>
    <row r="31" spans="1:9" x14ac:dyDescent="0.25">
      <c r="A31" s="1" t="s">
        <v>7</v>
      </c>
      <c r="B31" s="1" t="str">
        <f t="shared" si="1"/>
        <v>Construction</v>
      </c>
      <c r="C31" s="1">
        <v>8</v>
      </c>
    </row>
    <row r="32" spans="1:9" x14ac:dyDescent="0.25">
      <c r="A32" s="1" t="s">
        <v>9</v>
      </c>
      <c r="B32" s="1" t="str">
        <f t="shared" si="1"/>
        <v>Management of Companies &amp; Support Services</v>
      </c>
      <c r="C32" s="1">
        <v>7</v>
      </c>
    </row>
    <row r="33" spans="1:3" x14ac:dyDescent="0.25">
      <c r="A33" s="1" t="s">
        <v>3</v>
      </c>
      <c r="B33" s="1" t="str">
        <f t="shared" si="1"/>
        <v>Utilities</v>
      </c>
      <c r="C33" s="1">
        <v>6</v>
      </c>
    </row>
    <row r="34" spans="1:3" x14ac:dyDescent="0.25">
      <c r="A34" s="1" t="s">
        <v>2</v>
      </c>
      <c r="B34" s="1" t="str">
        <f t="shared" si="1"/>
        <v>Health Care &amp; Social Assistance</v>
      </c>
      <c r="C34" s="1">
        <v>5</v>
      </c>
    </row>
    <row r="35" spans="1:3" x14ac:dyDescent="0.25">
      <c r="A35" s="1" t="s">
        <v>17</v>
      </c>
      <c r="B35" s="1" t="str">
        <f t="shared" si="1"/>
        <v>Information</v>
      </c>
      <c r="C35" s="1">
        <v>4</v>
      </c>
    </row>
    <row r="36" spans="1:3" x14ac:dyDescent="0.25">
      <c r="A36" s="1" t="s">
        <v>11</v>
      </c>
      <c r="B36" s="1" t="str">
        <f t="shared" si="1"/>
        <v>Finance &amp; Insurance</v>
      </c>
      <c r="C36" s="1">
        <v>3</v>
      </c>
    </row>
    <row r="37" spans="1:3" x14ac:dyDescent="0.25">
      <c r="A37" s="1" t="s">
        <v>4</v>
      </c>
      <c r="B37" s="1" t="str">
        <f t="shared" si="1"/>
        <v>Accommodation &amp; Food Services</v>
      </c>
      <c r="C37" s="1">
        <v>2</v>
      </c>
    </row>
    <row r="38" spans="1:3" x14ac:dyDescent="0.25">
      <c r="A38" s="1" t="s">
        <v>36</v>
      </c>
      <c r="B38" s="1" t="str">
        <f t="shared" si="1"/>
        <v>Wholesale Trade</v>
      </c>
      <c r="C38" s="1">
        <v>1</v>
      </c>
    </row>
    <row r="39" spans="1:3" x14ac:dyDescent="0.25">
      <c r="A39" s="1" t="s">
        <v>35</v>
      </c>
      <c r="B39" s="1" t="str">
        <f t="shared" si="1"/>
        <v>Agriculture, Forestry, Fishing &amp; Hunting</v>
      </c>
      <c r="C39" s="1">
        <v>-1</v>
      </c>
    </row>
    <row r="41" spans="1:3" x14ac:dyDescent="0.25">
      <c r="A41" s="39" t="s">
        <v>21</v>
      </c>
      <c r="B41" s="39"/>
      <c r="C41" s="39"/>
    </row>
    <row r="42" spans="1:3" x14ac:dyDescent="0.25">
      <c r="A42" s="1" t="s">
        <v>1</v>
      </c>
      <c r="B42" s="1" t="str">
        <f t="shared" ref="B42:B58" si="2">TRIM(A42)</f>
        <v>Arts, Entertainment &amp; Recreation</v>
      </c>
      <c r="C42" s="1">
        <v>14</v>
      </c>
    </row>
    <row r="43" spans="1:3" x14ac:dyDescent="0.25">
      <c r="A43" s="1" t="s">
        <v>8</v>
      </c>
      <c r="B43" s="1" t="str">
        <f t="shared" si="2"/>
        <v>Retail Trade</v>
      </c>
      <c r="C43" s="1">
        <v>13</v>
      </c>
    </row>
    <row r="44" spans="1:3" x14ac:dyDescent="0.25">
      <c r="A44" s="1" t="s">
        <v>7</v>
      </c>
      <c r="B44" s="1" t="str">
        <f t="shared" si="2"/>
        <v>Construction</v>
      </c>
      <c r="C44" s="1">
        <v>12</v>
      </c>
    </row>
    <row r="45" spans="1:3" x14ac:dyDescent="0.25">
      <c r="A45" s="1" t="s">
        <v>5</v>
      </c>
      <c r="B45" s="1" t="str">
        <f t="shared" si="2"/>
        <v>Transportation &amp; Warehousing</v>
      </c>
      <c r="C45" s="1">
        <v>11</v>
      </c>
    </row>
    <row r="46" spans="1:3" x14ac:dyDescent="0.25">
      <c r="A46" s="1" t="s">
        <v>12</v>
      </c>
      <c r="B46" s="1" t="str">
        <f t="shared" si="2"/>
        <v>Educational Services</v>
      </c>
      <c r="C46" s="1">
        <v>10</v>
      </c>
    </row>
    <row r="47" spans="1:3" x14ac:dyDescent="0.25">
      <c r="A47" s="1" t="s">
        <v>9</v>
      </c>
      <c r="B47" s="1" t="str">
        <f t="shared" si="2"/>
        <v>Management of Companies &amp; Support Services</v>
      </c>
      <c r="C47" s="1">
        <v>9</v>
      </c>
    </row>
    <row r="48" spans="1:3" x14ac:dyDescent="0.25">
      <c r="A48" s="1" t="s">
        <v>11</v>
      </c>
      <c r="B48" s="1" t="str">
        <f t="shared" si="2"/>
        <v>Finance &amp; Insurance</v>
      </c>
      <c r="C48" s="1">
        <v>8</v>
      </c>
    </row>
    <row r="49" spans="1:3" x14ac:dyDescent="0.25">
      <c r="A49" s="1" t="s">
        <v>32</v>
      </c>
      <c r="B49" s="1" t="str">
        <f t="shared" si="2"/>
        <v>Professional, Scientific &amp; Technical Services</v>
      </c>
      <c r="C49" s="1">
        <v>7</v>
      </c>
    </row>
    <row r="50" spans="1:3" x14ac:dyDescent="0.25">
      <c r="A50" s="1" t="s">
        <v>33</v>
      </c>
      <c r="B50" s="1" t="str">
        <f t="shared" si="2"/>
        <v>Mining</v>
      </c>
      <c r="C50" s="1">
        <v>6</v>
      </c>
    </row>
    <row r="51" spans="1:3" x14ac:dyDescent="0.25">
      <c r="A51" s="1" t="s">
        <v>22</v>
      </c>
      <c r="B51" s="1" t="str">
        <f t="shared" si="2"/>
        <v>Other Services</v>
      </c>
      <c r="C51" s="1">
        <v>5</v>
      </c>
    </row>
    <row r="52" spans="1:3" x14ac:dyDescent="0.25">
      <c r="A52" s="1" t="s">
        <v>4</v>
      </c>
      <c r="B52" s="1" t="str">
        <f t="shared" si="2"/>
        <v>Accommodation &amp; Food Services</v>
      </c>
      <c r="C52" s="1">
        <v>4</v>
      </c>
    </row>
    <row r="53" spans="1:3" x14ac:dyDescent="0.25">
      <c r="A53" s="1" t="s">
        <v>17</v>
      </c>
      <c r="B53" s="1" t="str">
        <f t="shared" si="2"/>
        <v>Information</v>
      </c>
      <c r="C53" s="1">
        <v>3</v>
      </c>
    </row>
    <row r="54" spans="1:3" x14ac:dyDescent="0.25">
      <c r="A54" s="1" t="s">
        <v>3</v>
      </c>
      <c r="B54" s="1" t="str">
        <f t="shared" si="2"/>
        <v>Utilities</v>
      </c>
      <c r="C54" s="1">
        <v>2</v>
      </c>
    </row>
    <row r="55" spans="1:3" x14ac:dyDescent="0.25">
      <c r="A55" s="1" t="s">
        <v>36</v>
      </c>
      <c r="B55" s="1" t="str">
        <f t="shared" si="2"/>
        <v>Wholesale Trade</v>
      </c>
      <c r="C55" s="1">
        <v>1</v>
      </c>
    </row>
    <row r="56" spans="1:3" x14ac:dyDescent="0.25">
      <c r="A56" s="1" t="s">
        <v>35</v>
      </c>
      <c r="B56" s="1" t="str">
        <f t="shared" si="2"/>
        <v>Agriculture, Forestry, Fishing &amp; Hunting</v>
      </c>
      <c r="C56" s="1">
        <v>-3</v>
      </c>
    </row>
    <row r="57" spans="1:3" x14ac:dyDescent="0.25">
      <c r="A57" s="1" t="s">
        <v>2</v>
      </c>
      <c r="B57" s="1" t="str">
        <f t="shared" si="2"/>
        <v>Health Care &amp; Social Assistance</v>
      </c>
      <c r="C57" s="1">
        <v>-2</v>
      </c>
    </row>
    <row r="58" spans="1:3" x14ac:dyDescent="0.25">
      <c r="A58" s="1" t="s">
        <v>34</v>
      </c>
      <c r="B58" s="1" t="str">
        <f t="shared" si="2"/>
        <v>Public Administration</v>
      </c>
      <c r="C58" s="1">
        <v>-1</v>
      </c>
    </row>
    <row r="60" spans="1:3" x14ac:dyDescent="0.25">
      <c r="A60" s="39" t="s">
        <v>24</v>
      </c>
      <c r="B60" s="39"/>
      <c r="C60" s="39"/>
    </row>
    <row r="61" spans="1:3" x14ac:dyDescent="0.25">
      <c r="A61" s="1" t="s">
        <v>41</v>
      </c>
      <c r="B61" s="1" t="str">
        <f t="shared" ref="B61:B77" si="3">TRIM(A61)</f>
        <v>Management of Companies &amp; Support Services</v>
      </c>
      <c r="C61" s="1">
        <v>-17</v>
      </c>
    </row>
    <row r="62" spans="1:3" x14ac:dyDescent="0.25">
      <c r="A62" s="1" t="s">
        <v>4</v>
      </c>
      <c r="B62" s="1" t="str">
        <f t="shared" si="3"/>
        <v>Accommodation &amp; Food Services</v>
      </c>
      <c r="C62" s="1">
        <v>-16</v>
      </c>
    </row>
    <row r="63" spans="1:3" x14ac:dyDescent="0.25">
      <c r="A63" s="1" t="s">
        <v>5</v>
      </c>
      <c r="B63" s="1" t="str">
        <f t="shared" si="3"/>
        <v>Transportation &amp; Warehousing</v>
      </c>
      <c r="C63" s="1">
        <v>-15</v>
      </c>
    </row>
    <row r="64" spans="1:3" x14ac:dyDescent="0.25">
      <c r="A64" s="1" t="s">
        <v>33</v>
      </c>
      <c r="B64" s="1" t="str">
        <f t="shared" si="3"/>
        <v>Mining</v>
      </c>
      <c r="C64" s="1">
        <v>-14</v>
      </c>
    </row>
    <row r="65" spans="1:3" x14ac:dyDescent="0.25">
      <c r="A65" s="1" t="s">
        <v>2</v>
      </c>
      <c r="B65" s="1" t="str">
        <f t="shared" si="3"/>
        <v>Health Care &amp; Social Assistance</v>
      </c>
      <c r="C65" s="1">
        <v>-13</v>
      </c>
    </row>
    <row r="66" spans="1:3" x14ac:dyDescent="0.25">
      <c r="A66" s="1" t="s">
        <v>10</v>
      </c>
      <c r="B66" s="1" t="str">
        <f t="shared" si="3"/>
        <v>Public Administration</v>
      </c>
      <c r="C66" s="1">
        <v>-12</v>
      </c>
    </row>
    <row r="67" spans="1:3" x14ac:dyDescent="0.25">
      <c r="A67" s="1" t="s">
        <v>8</v>
      </c>
      <c r="B67" s="1" t="str">
        <f t="shared" si="3"/>
        <v>Retail Trade</v>
      </c>
      <c r="C67" s="1">
        <v>-11</v>
      </c>
    </row>
    <row r="68" spans="1:3" x14ac:dyDescent="0.25">
      <c r="A68" s="1" t="s">
        <v>6</v>
      </c>
      <c r="B68" s="1" t="str">
        <f t="shared" si="3"/>
        <v>Wholesale Trade</v>
      </c>
      <c r="C68" s="1">
        <v>-10</v>
      </c>
    </row>
    <row r="69" spans="1:3" x14ac:dyDescent="0.25">
      <c r="A69" s="1" t="s">
        <v>7</v>
      </c>
      <c r="B69" s="1" t="str">
        <f t="shared" si="3"/>
        <v>Construction</v>
      </c>
      <c r="C69" s="1">
        <v>-9</v>
      </c>
    </row>
    <row r="70" spans="1:3" x14ac:dyDescent="0.25">
      <c r="A70" s="1" t="s">
        <v>17</v>
      </c>
      <c r="B70" s="1" t="str">
        <f t="shared" si="3"/>
        <v>Information</v>
      </c>
      <c r="C70" s="1">
        <v>-8</v>
      </c>
    </row>
    <row r="71" spans="1:3" x14ac:dyDescent="0.25">
      <c r="A71" s="1" t="s">
        <v>12</v>
      </c>
      <c r="B71" s="1" t="str">
        <f t="shared" si="3"/>
        <v>Educational Services</v>
      </c>
      <c r="C71" s="1">
        <v>-7</v>
      </c>
    </row>
    <row r="72" spans="1:3" x14ac:dyDescent="0.25">
      <c r="A72" s="1" t="s">
        <v>3</v>
      </c>
      <c r="B72" s="1" t="str">
        <f t="shared" si="3"/>
        <v>Utilities</v>
      </c>
      <c r="C72" s="1">
        <v>-6</v>
      </c>
    </row>
    <row r="73" spans="1:3" x14ac:dyDescent="0.25">
      <c r="A73" s="1" t="s">
        <v>13</v>
      </c>
      <c r="B73" s="1" t="str">
        <f t="shared" si="3"/>
        <v>Agriculture, Forestry, Fishing &amp; Hunting</v>
      </c>
      <c r="C73" s="1">
        <v>-5</v>
      </c>
    </row>
    <row r="74" spans="1:3" x14ac:dyDescent="0.25">
      <c r="A74" s="1" t="s">
        <v>14</v>
      </c>
      <c r="B74" s="1" t="str">
        <f t="shared" si="3"/>
        <v>Real Estate, Rental &amp; Leasing</v>
      </c>
      <c r="C74" s="1">
        <v>-4</v>
      </c>
    </row>
    <row r="75" spans="1:3" x14ac:dyDescent="0.25">
      <c r="A75" s="1" t="s">
        <v>22</v>
      </c>
      <c r="B75" s="1" t="str">
        <f t="shared" si="3"/>
        <v>Other Services</v>
      </c>
      <c r="C75" s="1">
        <v>-3</v>
      </c>
    </row>
    <row r="76" spans="1:3" x14ac:dyDescent="0.25">
      <c r="A76" s="1" t="s">
        <v>32</v>
      </c>
      <c r="B76" s="1" t="str">
        <f t="shared" si="3"/>
        <v>Professional, Scientific &amp; Technical Services</v>
      </c>
      <c r="C76" s="1">
        <v>-2</v>
      </c>
    </row>
    <row r="77" spans="1:3" x14ac:dyDescent="0.25">
      <c r="A77" s="1" t="s">
        <v>23</v>
      </c>
      <c r="B77" s="1" t="str">
        <f t="shared" si="3"/>
        <v>Finance &amp; Insurance</v>
      </c>
      <c r="C77" s="1">
        <v>-1</v>
      </c>
    </row>
    <row r="79" spans="1:3" x14ac:dyDescent="0.25">
      <c r="A79" s="39" t="s">
        <v>26</v>
      </c>
      <c r="B79" s="39"/>
      <c r="C79" s="39"/>
    </row>
    <row r="80" spans="1:3" x14ac:dyDescent="0.25">
      <c r="A80" s="1" t="s">
        <v>1</v>
      </c>
      <c r="B80" s="1" t="str">
        <f t="shared" ref="B80:B94" si="4">TRIM(A80)</f>
        <v>Arts, Entertainment &amp; Recreation</v>
      </c>
      <c r="C80" s="1">
        <v>9</v>
      </c>
    </row>
    <row r="81" spans="1:3" x14ac:dyDescent="0.25">
      <c r="A81" s="1" t="s">
        <v>5</v>
      </c>
      <c r="B81" s="1" t="str">
        <f t="shared" si="4"/>
        <v>Transportation &amp; Warehousing</v>
      </c>
      <c r="C81" s="1">
        <v>8</v>
      </c>
    </row>
    <row r="82" spans="1:3" x14ac:dyDescent="0.25">
      <c r="A82" s="1" t="s">
        <v>7</v>
      </c>
      <c r="B82" s="1" t="str">
        <f t="shared" si="4"/>
        <v>Construction</v>
      </c>
      <c r="C82" s="1">
        <v>7</v>
      </c>
    </row>
    <row r="83" spans="1:3" x14ac:dyDescent="0.25">
      <c r="A83" s="1" t="s">
        <v>12</v>
      </c>
      <c r="B83" s="1" t="str">
        <f t="shared" si="4"/>
        <v>Educational Services</v>
      </c>
      <c r="C83" s="1">
        <v>6</v>
      </c>
    </row>
    <row r="84" spans="1:3" x14ac:dyDescent="0.25">
      <c r="A84" s="1" t="s">
        <v>3</v>
      </c>
      <c r="B84" s="1" t="str">
        <f t="shared" si="4"/>
        <v>Utilities</v>
      </c>
      <c r="C84" s="1">
        <v>5</v>
      </c>
    </row>
    <row r="85" spans="1:3" x14ac:dyDescent="0.25">
      <c r="A85" s="1" t="s">
        <v>33</v>
      </c>
      <c r="B85" s="1" t="str">
        <f t="shared" si="4"/>
        <v>Mining</v>
      </c>
      <c r="C85" s="1">
        <v>4</v>
      </c>
    </row>
    <row r="86" spans="1:3" x14ac:dyDescent="0.25">
      <c r="A86" s="1" t="s">
        <v>4</v>
      </c>
      <c r="B86" s="1" t="str">
        <f t="shared" si="4"/>
        <v>Accommodation &amp; Food Services</v>
      </c>
      <c r="C86" s="1">
        <v>3</v>
      </c>
    </row>
    <row r="87" spans="1:3" x14ac:dyDescent="0.25">
      <c r="A87" s="1" t="s">
        <v>6</v>
      </c>
      <c r="B87" s="1" t="str">
        <f t="shared" si="4"/>
        <v>Wholesale Trade</v>
      </c>
      <c r="C87" s="1">
        <v>2</v>
      </c>
    </row>
    <row r="88" spans="1:3" x14ac:dyDescent="0.25">
      <c r="A88" s="1" t="s">
        <v>43</v>
      </c>
      <c r="B88" s="1" t="str">
        <f t="shared" si="4"/>
        <v>Health Care &amp; Social Assistance</v>
      </c>
      <c r="C88" s="1">
        <v>1</v>
      </c>
    </row>
    <row r="89" spans="1:3" x14ac:dyDescent="0.25">
      <c r="A89" s="1" t="s">
        <v>35</v>
      </c>
      <c r="B89" s="1" t="str">
        <f t="shared" si="4"/>
        <v>Agriculture, Forestry, Fishing &amp; Hunting</v>
      </c>
      <c r="C89" s="1">
        <v>-6</v>
      </c>
    </row>
    <row r="90" spans="1:3" x14ac:dyDescent="0.25">
      <c r="A90" s="1" t="s">
        <v>14</v>
      </c>
      <c r="B90" s="1" t="str">
        <f t="shared" si="4"/>
        <v>Real Estate, Rental &amp; Leasing</v>
      </c>
      <c r="C90" s="1">
        <v>-5</v>
      </c>
    </row>
    <row r="91" spans="1:3" x14ac:dyDescent="0.25">
      <c r="A91" s="1" t="s">
        <v>8</v>
      </c>
      <c r="B91" s="1" t="str">
        <f t="shared" si="4"/>
        <v>Retail Trade</v>
      </c>
      <c r="C91" s="1">
        <v>-4</v>
      </c>
    </row>
    <row r="92" spans="1:3" x14ac:dyDescent="0.25">
      <c r="A92" s="1" t="s">
        <v>22</v>
      </c>
      <c r="B92" s="1" t="str">
        <f t="shared" si="4"/>
        <v>Other Services</v>
      </c>
      <c r="C92" s="1">
        <v>-3</v>
      </c>
    </row>
    <row r="93" spans="1:3" x14ac:dyDescent="0.25">
      <c r="A93" s="1" t="s">
        <v>17</v>
      </c>
      <c r="B93" s="1" t="str">
        <f t="shared" si="4"/>
        <v>Information</v>
      </c>
      <c r="C93" s="1">
        <v>-2</v>
      </c>
    </row>
    <row r="94" spans="1:3" x14ac:dyDescent="0.25">
      <c r="A94" s="1" t="s">
        <v>34</v>
      </c>
      <c r="B94" s="1" t="str">
        <f t="shared" si="4"/>
        <v>Public Administration</v>
      </c>
      <c r="C94" s="1">
        <v>-1</v>
      </c>
    </row>
    <row r="96" spans="1:3" x14ac:dyDescent="0.25">
      <c r="A96" s="39" t="s">
        <v>30</v>
      </c>
      <c r="B96" s="39"/>
      <c r="C96" s="39"/>
    </row>
    <row r="97" spans="1:3" x14ac:dyDescent="0.25">
      <c r="A97" s="1" t="s">
        <v>41</v>
      </c>
      <c r="B97" s="1" t="str">
        <f t="shared" ref="B97:B114" si="5">TRIM(A97)</f>
        <v>Management of Companies &amp; Support Services</v>
      </c>
      <c r="C97" s="1">
        <v>18</v>
      </c>
    </row>
    <row r="98" spans="1:3" x14ac:dyDescent="0.25">
      <c r="A98" s="1" t="s">
        <v>5</v>
      </c>
      <c r="B98" s="1" t="str">
        <f t="shared" si="5"/>
        <v>Transportation &amp; Warehousing</v>
      </c>
      <c r="C98" s="1">
        <v>17</v>
      </c>
    </row>
    <row r="99" spans="1:3" x14ac:dyDescent="0.25">
      <c r="A99" s="1" t="s">
        <v>14</v>
      </c>
      <c r="B99" s="1" t="str">
        <f t="shared" si="5"/>
        <v>Real Estate, Rental &amp; Leasing</v>
      </c>
      <c r="C99" s="1">
        <v>16</v>
      </c>
    </row>
    <row r="100" spans="1:3" x14ac:dyDescent="0.25">
      <c r="A100" s="1" t="s">
        <v>8</v>
      </c>
      <c r="B100" s="1" t="str">
        <f t="shared" si="5"/>
        <v>Retail Trade</v>
      </c>
      <c r="C100" s="1">
        <v>15</v>
      </c>
    </row>
    <row r="101" spans="1:3" x14ac:dyDescent="0.25">
      <c r="A101" s="1" t="s">
        <v>6</v>
      </c>
      <c r="B101" s="1" t="str">
        <f t="shared" si="5"/>
        <v>Wholesale Trade</v>
      </c>
      <c r="C101" s="1">
        <v>14</v>
      </c>
    </row>
    <row r="102" spans="1:3" x14ac:dyDescent="0.25">
      <c r="A102" s="1" t="s">
        <v>22</v>
      </c>
      <c r="B102" s="1" t="str">
        <f t="shared" si="5"/>
        <v>Other Services</v>
      </c>
      <c r="C102" s="1">
        <v>13</v>
      </c>
    </row>
    <row r="103" spans="1:3" x14ac:dyDescent="0.25">
      <c r="A103" s="1" t="s">
        <v>42</v>
      </c>
      <c r="B103" s="1" t="str">
        <f t="shared" si="5"/>
        <v>Arts, Entertainment &amp; Recreation</v>
      </c>
      <c r="C103" s="1">
        <v>12</v>
      </c>
    </row>
    <row r="104" spans="1:3" x14ac:dyDescent="0.25">
      <c r="A104" s="1" t="s">
        <v>10</v>
      </c>
      <c r="B104" s="1" t="str">
        <f t="shared" si="5"/>
        <v>Public Administration</v>
      </c>
      <c r="C104" s="1">
        <v>11</v>
      </c>
    </row>
    <row r="105" spans="1:3" x14ac:dyDescent="0.25">
      <c r="A105" s="1" t="s">
        <v>7</v>
      </c>
      <c r="B105" s="1" t="str">
        <f t="shared" si="5"/>
        <v>Construction</v>
      </c>
      <c r="C105" s="1">
        <v>10</v>
      </c>
    </row>
    <row r="106" spans="1:3" x14ac:dyDescent="0.25">
      <c r="A106" s="1" t="s">
        <v>3</v>
      </c>
      <c r="B106" s="1" t="str">
        <f t="shared" si="5"/>
        <v>Utilities</v>
      </c>
      <c r="C106" s="1">
        <v>9</v>
      </c>
    </row>
    <row r="107" spans="1:3" x14ac:dyDescent="0.25">
      <c r="A107" s="1" t="s">
        <v>4</v>
      </c>
      <c r="B107" s="1" t="str">
        <f t="shared" si="5"/>
        <v>Accommodation &amp; Food Services</v>
      </c>
      <c r="C107" s="1">
        <v>8</v>
      </c>
    </row>
    <row r="108" spans="1:3" x14ac:dyDescent="0.25">
      <c r="A108" s="1" t="s">
        <v>17</v>
      </c>
      <c r="B108" s="1" t="str">
        <f t="shared" si="5"/>
        <v>Information</v>
      </c>
      <c r="C108" s="1">
        <v>7</v>
      </c>
    </row>
    <row r="109" spans="1:3" x14ac:dyDescent="0.25">
      <c r="A109" s="1" t="s">
        <v>12</v>
      </c>
      <c r="B109" s="1" t="str">
        <f t="shared" si="5"/>
        <v>Educational Services</v>
      </c>
      <c r="C109" s="1">
        <v>6</v>
      </c>
    </row>
    <row r="110" spans="1:3" x14ac:dyDescent="0.25">
      <c r="A110" s="1" t="s">
        <v>33</v>
      </c>
      <c r="B110" s="1" t="str">
        <f t="shared" si="5"/>
        <v>Mining</v>
      </c>
      <c r="C110" s="1">
        <v>5</v>
      </c>
    </row>
    <row r="111" spans="1:3" x14ac:dyDescent="0.25">
      <c r="A111" s="1" t="s">
        <v>11</v>
      </c>
      <c r="B111" s="1" t="str">
        <f t="shared" si="5"/>
        <v>Finance &amp; Insurance</v>
      </c>
      <c r="C111" s="1">
        <v>4</v>
      </c>
    </row>
    <row r="112" spans="1:3" x14ac:dyDescent="0.25">
      <c r="A112" s="1" t="s">
        <v>13</v>
      </c>
      <c r="B112" s="1" t="str">
        <f t="shared" si="5"/>
        <v>Agriculture, Forestry, Fishing &amp; Hunting</v>
      </c>
      <c r="C112" s="1">
        <v>3</v>
      </c>
    </row>
    <row r="113" spans="1:3" x14ac:dyDescent="0.25">
      <c r="A113" s="1" t="s">
        <v>32</v>
      </c>
      <c r="B113" s="1" t="str">
        <f t="shared" si="5"/>
        <v>Professional, Scientific &amp; Technical Services</v>
      </c>
      <c r="C113" s="1">
        <v>2</v>
      </c>
    </row>
    <row r="114" spans="1:3" x14ac:dyDescent="0.25">
      <c r="A114" s="1" t="s">
        <v>43</v>
      </c>
      <c r="B114" s="1" t="str">
        <f t="shared" si="5"/>
        <v>Health Care &amp; Social Assistance</v>
      </c>
      <c r="C114" s="1">
        <v>1</v>
      </c>
    </row>
    <row r="116" spans="1:3" x14ac:dyDescent="0.25">
      <c r="A116" s="39" t="s">
        <v>3818</v>
      </c>
      <c r="B116" s="39"/>
      <c r="C116" s="39"/>
    </row>
    <row r="117" spans="1:3" x14ac:dyDescent="0.25">
      <c r="A117" s="2" t="s">
        <v>25</v>
      </c>
      <c r="B117" s="1" t="str">
        <f t="shared" ref="B117:B134" si="6">TRIM(A117)</f>
        <v>Retail Trade</v>
      </c>
      <c r="C117" s="2">
        <v>17</v>
      </c>
    </row>
    <row r="118" spans="1:3" x14ac:dyDescent="0.25">
      <c r="A118" s="2" t="s">
        <v>42</v>
      </c>
      <c r="B118" s="1" t="str">
        <f t="shared" si="6"/>
        <v>Arts, Entertainment &amp; Recreation</v>
      </c>
      <c r="C118" s="2">
        <v>16</v>
      </c>
    </row>
    <row r="119" spans="1:3" x14ac:dyDescent="0.25">
      <c r="A119" s="2" t="s">
        <v>12</v>
      </c>
      <c r="B119" s="1" t="str">
        <f t="shared" si="6"/>
        <v>Educational Services</v>
      </c>
      <c r="C119" s="2">
        <v>15</v>
      </c>
    </row>
    <row r="120" spans="1:3" x14ac:dyDescent="0.25">
      <c r="A120" s="2" t="s">
        <v>14</v>
      </c>
      <c r="B120" s="1" t="str">
        <f t="shared" si="6"/>
        <v>Real Estate, Rental &amp; Leasing</v>
      </c>
      <c r="C120" s="2">
        <v>14</v>
      </c>
    </row>
    <row r="121" spans="1:3" x14ac:dyDescent="0.25">
      <c r="A121" s="2" t="s">
        <v>2</v>
      </c>
      <c r="B121" s="1" t="str">
        <f t="shared" si="6"/>
        <v>Health Care &amp; Social Assistance</v>
      </c>
      <c r="C121" s="2">
        <v>13</v>
      </c>
    </row>
    <row r="122" spans="1:3" x14ac:dyDescent="0.25">
      <c r="A122" s="2" t="s">
        <v>9</v>
      </c>
      <c r="B122" s="1" t="str">
        <f t="shared" si="6"/>
        <v>Management of Companies &amp; Support Services</v>
      </c>
      <c r="C122" s="2">
        <v>12</v>
      </c>
    </row>
    <row r="123" spans="1:3" x14ac:dyDescent="0.25">
      <c r="A123" s="2" t="s">
        <v>32</v>
      </c>
      <c r="B123" s="1" t="str">
        <f t="shared" si="6"/>
        <v>Professional, Scientific &amp; Technical Services</v>
      </c>
      <c r="C123" s="2">
        <v>11</v>
      </c>
    </row>
    <row r="124" spans="1:3" x14ac:dyDescent="0.25">
      <c r="A124" s="2" t="s">
        <v>17</v>
      </c>
      <c r="B124" s="1" t="str">
        <f t="shared" si="6"/>
        <v>Information</v>
      </c>
      <c r="C124" s="2">
        <v>10</v>
      </c>
    </row>
    <row r="125" spans="1:3" x14ac:dyDescent="0.25">
      <c r="A125" s="2" t="s">
        <v>3</v>
      </c>
      <c r="B125" s="1" t="str">
        <f t="shared" si="6"/>
        <v>Utilities</v>
      </c>
      <c r="C125" s="2">
        <v>9</v>
      </c>
    </row>
    <row r="126" spans="1:3" x14ac:dyDescent="0.25">
      <c r="A126" s="2" t="s">
        <v>11</v>
      </c>
      <c r="B126" s="1" t="str">
        <f t="shared" si="6"/>
        <v>Finance &amp; Insurance</v>
      </c>
      <c r="C126" s="2">
        <v>8</v>
      </c>
    </row>
    <row r="127" spans="1:3" x14ac:dyDescent="0.25">
      <c r="A127" s="2" t="s">
        <v>6</v>
      </c>
      <c r="B127" s="1" t="str">
        <f t="shared" si="6"/>
        <v>Wholesale Trade</v>
      </c>
      <c r="C127" s="2">
        <v>7</v>
      </c>
    </row>
    <row r="128" spans="1:3" x14ac:dyDescent="0.25">
      <c r="A128" s="2" t="s">
        <v>4</v>
      </c>
      <c r="B128" s="1" t="str">
        <f t="shared" si="6"/>
        <v>Accommodation &amp; Food Services</v>
      </c>
      <c r="C128" s="2">
        <v>6</v>
      </c>
    </row>
    <row r="129" spans="1:3" x14ac:dyDescent="0.25">
      <c r="A129" s="2" t="s">
        <v>10</v>
      </c>
      <c r="B129" s="1" t="str">
        <f t="shared" si="6"/>
        <v>Public Administration</v>
      </c>
      <c r="C129" s="2">
        <v>5</v>
      </c>
    </row>
    <row r="130" spans="1:3" x14ac:dyDescent="0.25">
      <c r="A130" s="2" t="s">
        <v>22</v>
      </c>
      <c r="B130" s="1" t="str">
        <f t="shared" si="6"/>
        <v>Other Services</v>
      </c>
      <c r="C130" s="2">
        <v>4</v>
      </c>
    </row>
    <row r="131" spans="1:3" x14ac:dyDescent="0.25">
      <c r="A131" s="2" t="s">
        <v>7</v>
      </c>
      <c r="B131" s="1" t="str">
        <f t="shared" si="6"/>
        <v>Construction</v>
      </c>
      <c r="C131" s="2">
        <v>3</v>
      </c>
    </row>
    <row r="132" spans="1:3" x14ac:dyDescent="0.25">
      <c r="A132" s="2" t="s">
        <v>33</v>
      </c>
      <c r="B132" s="1" t="str">
        <f t="shared" si="6"/>
        <v>Mining</v>
      </c>
      <c r="C132" s="2">
        <v>2</v>
      </c>
    </row>
    <row r="133" spans="1:3" x14ac:dyDescent="0.25">
      <c r="A133" s="2" t="s">
        <v>38</v>
      </c>
      <c r="B133" s="1" t="str">
        <f t="shared" si="6"/>
        <v>Transportation &amp; Warehousing</v>
      </c>
      <c r="C133" s="2">
        <v>1</v>
      </c>
    </row>
    <row r="134" spans="1:3" x14ac:dyDescent="0.25">
      <c r="A134" s="2" t="s">
        <v>35</v>
      </c>
      <c r="B134" s="1" t="str">
        <f t="shared" si="6"/>
        <v>Agriculture, Forestry, Fishing &amp; Hunting</v>
      </c>
      <c r="C134" s="2">
        <v>-1</v>
      </c>
    </row>
  </sheetData>
  <mergeCells count="7">
    <mergeCell ref="A116:C116"/>
    <mergeCell ref="A96:C96"/>
    <mergeCell ref="A1:C1"/>
    <mergeCell ref="A21:C21"/>
    <mergeCell ref="A41:C41"/>
    <mergeCell ref="A60:C60"/>
    <mergeCell ref="A79:C79"/>
  </mergeCells>
  <pageMargins left="0.78749999999999998" right="0.78749999999999998" top="1.05277777777778" bottom="1.05277777777778" header="0.78749999999999998" footer="0.78749999999999998"/>
  <pageSetup paperSize="9" firstPageNumber="0" orientation="portrait" horizontalDpi="300" verticalDpi="300"/>
  <headerFooter>
    <oddHeader>&amp;C&amp;"Times New Roman,Regular"&amp;12&amp;A</oddHeader>
    <oddFooter>&amp;C&amp;"Times New Roman,Regular"&amp;12Page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G127"/>
  <sheetViews>
    <sheetView zoomScaleNormal="100" workbookViewId="0">
      <selection activeCell="F1" sqref="F1:F1048576"/>
    </sheetView>
  </sheetViews>
  <sheetFormatPr defaultRowHeight="15" x14ac:dyDescent="0.25"/>
  <cols>
    <col min="1" max="1" width="43.85546875" bestFit="1" customWidth="1"/>
    <col min="2" max="2" width="43.42578125" bestFit="1" customWidth="1"/>
  </cols>
  <sheetData>
    <row r="1" spans="1:7" x14ac:dyDescent="0.25">
      <c r="A1" s="39" t="s">
        <v>0</v>
      </c>
      <c r="B1" s="39"/>
      <c r="C1" s="39"/>
    </row>
    <row r="2" spans="1:7" x14ac:dyDescent="0.25">
      <c r="A2" s="1" t="s">
        <v>25</v>
      </c>
      <c r="B2" s="1" t="str">
        <f t="shared" ref="B2:B19" si="0">TRIM(A2)</f>
        <v>Retail Trade</v>
      </c>
      <c r="C2" s="1">
        <v>18</v>
      </c>
    </row>
    <row r="3" spans="1:7" x14ac:dyDescent="0.25">
      <c r="A3" s="1" t="s">
        <v>5</v>
      </c>
      <c r="B3" s="1" t="str">
        <f t="shared" si="0"/>
        <v>Transportation &amp; Warehousing</v>
      </c>
      <c r="C3" s="1">
        <v>17</v>
      </c>
      <c r="F3" t="s">
        <v>31</v>
      </c>
      <c r="G3" s="29" t="s">
        <v>3878</v>
      </c>
    </row>
    <row r="4" spans="1:7" x14ac:dyDescent="0.25">
      <c r="A4" s="1" t="s">
        <v>14</v>
      </c>
      <c r="B4" s="1" t="str">
        <f t="shared" si="0"/>
        <v>Real Estate, Rental &amp; Leasing</v>
      </c>
      <c r="C4" s="1">
        <v>16</v>
      </c>
      <c r="F4" t="s">
        <v>35</v>
      </c>
      <c r="G4" s="29" t="s">
        <v>3879</v>
      </c>
    </row>
    <row r="5" spans="1:7" x14ac:dyDescent="0.25">
      <c r="A5" s="1" t="s">
        <v>42</v>
      </c>
      <c r="B5" s="1" t="str">
        <f t="shared" si="0"/>
        <v>Arts, Entertainment &amp; Recreation</v>
      </c>
      <c r="C5" s="1">
        <v>15</v>
      </c>
      <c r="F5" t="s">
        <v>20</v>
      </c>
      <c r="G5" s="29" t="s">
        <v>3880</v>
      </c>
    </row>
    <row r="6" spans="1:7" x14ac:dyDescent="0.25">
      <c r="A6" s="1" t="s">
        <v>22</v>
      </c>
      <c r="B6" s="1" t="str">
        <f t="shared" si="0"/>
        <v>Other Services</v>
      </c>
      <c r="C6" s="1">
        <v>14</v>
      </c>
      <c r="F6" t="s">
        <v>27</v>
      </c>
      <c r="G6" s="29" t="s">
        <v>3881</v>
      </c>
    </row>
    <row r="7" spans="1:7" x14ac:dyDescent="0.25">
      <c r="A7" s="1" t="s">
        <v>3</v>
      </c>
      <c r="B7" s="1" t="str">
        <f t="shared" si="0"/>
        <v>Utilities</v>
      </c>
      <c r="C7" s="1">
        <v>13</v>
      </c>
      <c r="F7" t="s">
        <v>43</v>
      </c>
      <c r="G7" s="29" t="s">
        <v>3882</v>
      </c>
    </row>
    <row r="8" spans="1:7" x14ac:dyDescent="0.25">
      <c r="A8" s="1" t="s">
        <v>7</v>
      </c>
      <c r="B8" s="1" t="str">
        <f t="shared" si="0"/>
        <v>Construction</v>
      </c>
      <c r="C8" s="1">
        <v>12</v>
      </c>
      <c r="F8" t="s">
        <v>28</v>
      </c>
      <c r="G8" s="29" t="s">
        <v>3883</v>
      </c>
    </row>
    <row r="9" spans="1:7" x14ac:dyDescent="0.25">
      <c r="A9" s="1" t="s">
        <v>17</v>
      </c>
      <c r="B9" s="1" t="str">
        <f t="shared" si="0"/>
        <v>Information</v>
      </c>
      <c r="C9" s="1">
        <v>11</v>
      </c>
      <c r="F9" t="s">
        <v>41</v>
      </c>
      <c r="G9" s="29" t="s">
        <v>3884</v>
      </c>
    </row>
    <row r="10" spans="1:7" x14ac:dyDescent="0.25">
      <c r="A10" s="1" t="s">
        <v>12</v>
      </c>
      <c r="B10" s="1" t="str">
        <f t="shared" si="0"/>
        <v>Educational Services</v>
      </c>
      <c r="C10" s="1">
        <v>10</v>
      </c>
      <c r="F10" t="s">
        <v>15</v>
      </c>
      <c r="G10" s="29" t="s">
        <v>3885</v>
      </c>
    </row>
    <row r="11" spans="1:7" x14ac:dyDescent="0.25">
      <c r="A11" s="1" t="s">
        <v>6</v>
      </c>
      <c r="B11" s="1" t="str">
        <f t="shared" si="0"/>
        <v>Wholesale Trade</v>
      </c>
      <c r="C11" s="1">
        <v>9</v>
      </c>
      <c r="F11" t="s">
        <v>34</v>
      </c>
      <c r="G11" s="29" t="s">
        <v>3886</v>
      </c>
    </row>
    <row r="12" spans="1:7" x14ac:dyDescent="0.25">
      <c r="A12" s="1" t="s">
        <v>4</v>
      </c>
      <c r="B12" s="1" t="str">
        <f t="shared" si="0"/>
        <v>Accommodation &amp; Food Services</v>
      </c>
      <c r="C12" s="1">
        <v>8</v>
      </c>
      <c r="F12" t="s">
        <v>29</v>
      </c>
      <c r="G12" s="29" t="s">
        <v>3887</v>
      </c>
    </row>
    <row r="13" spans="1:7" x14ac:dyDescent="0.25">
      <c r="A13" s="1" t="s">
        <v>2</v>
      </c>
      <c r="B13" s="1" t="str">
        <f t="shared" si="0"/>
        <v>Health Care &amp; Social Assistance</v>
      </c>
      <c r="C13" s="1">
        <v>7</v>
      </c>
      <c r="F13" t="s">
        <v>36</v>
      </c>
      <c r="G13" s="29" t="s">
        <v>3888</v>
      </c>
    </row>
    <row r="14" spans="1:7" x14ac:dyDescent="0.25">
      <c r="A14" s="1" t="s">
        <v>13</v>
      </c>
      <c r="B14" s="1" t="str">
        <f t="shared" si="0"/>
        <v>Agriculture, Forestry, Fishing &amp; Hunting</v>
      </c>
      <c r="C14" s="1">
        <v>6</v>
      </c>
    </row>
    <row r="15" spans="1:7" x14ac:dyDescent="0.25">
      <c r="A15" s="1" t="s">
        <v>9</v>
      </c>
      <c r="B15" s="1" t="str">
        <f t="shared" si="0"/>
        <v>Management of Companies &amp; Support Services</v>
      </c>
      <c r="C15" s="1">
        <v>5</v>
      </c>
    </row>
    <row r="16" spans="1:7" x14ac:dyDescent="0.25">
      <c r="A16" s="1" t="s">
        <v>11</v>
      </c>
      <c r="B16" s="1" t="str">
        <f t="shared" si="0"/>
        <v>Finance &amp; Insurance</v>
      </c>
      <c r="C16" s="1">
        <v>4</v>
      </c>
    </row>
    <row r="17" spans="1:3" x14ac:dyDescent="0.25">
      <c r="A17" s="1" t="s">
        <v>32</v>
      </c>
      <c r="B17" s="1" t="str">
        <f t="shared" si="0"/>
        <v>Professional, Scientific &amp; Technical Services</v>
      </c>
      <c r="C17" s="1">
        <v>3</v>
      </c>
    </row>
    <row r="18" spans="1:3" x14ac:dyDescent="0.25">
      <c r="A18" s="1" t="s">
        <v>10</v>
      </c>
      <c r="B18" s="1" t="str">
        <f t="shared" si="0"/>
        <v>Public Administration</v>
      </c>
      <c r="C18" s="1">
        <v>2</v>
      </c>
    </row>
    <row r="19" spans="1:3" x14ac:dyDescent="0.25">
      <c r="A19" s="1" t="s">
        <v>16</v>
      </c>
      <c r="B19" s="1" t="str">
        <f t="shared" si="0"/>
        <v>Mining</v>
      </c>
      <c r="C19" s="1">
        <v>1</v>
      </c>
    </row>
    <row r="21" spans="1:3" x14ac:dyDescent="0.25">
      <c r="A21" s="39" t="s">
        <v>19</v>
      </c>
      <c r="B21" s="39"/>
      <c r="C21" s="39"/>
    </row>
    <row r="22" spans="1:3" x14ac:dyDescent="0.25">
      <c r="A22" s="1" t="s">
        <v>25</v>
      </c>
      <c r="B22" s="1" t="str">
        <f t="shared" ref="B22:B37" si="1">TRIM(A22)</f>
        <v>Retail Trade</v>
      </c>
      <c r="C22" s="1">
        <v>16</v>
      </c>
    </row>
    <row r="23" spans="1:3" x14ac:dyDescent="0.25">
      <c r="A23" s="1" t="s">
        <v>5</v>
      </c>
      <c r="B23" s="1" t="str">
        <f t="shared" si="1"/>
        <v>Transportation &amp; Warehousing</v>
      </c>
      <c r="C23" s="1">
        <v>15</v>
      </c>
    </row>
    <row r="24" spans="1:3" x14ac:dyDescent="0.25">
      <c r="A24" s="1" t="s">
        <v>22</v>
      </c>
      <c r="B24" s="1" t="str">
        <f t="shared" si="1"/>
        <v>Other Services</v>
      </c>
      <c r="C24" s="1">
        <v>14</v>
      </c>
    </row>
    <row r="25" spans="1:3" x14ac:dyDescent="0.25">
      <c r="A25" s="1" t="s">
        <v>14</v>
      </c>
      <c r="B25" s="1" t="str">
        <f t="shared" si="1"/>
        <v>Real Estate, Rental &amp; Leasing</v>
      </c>
      <c r="C25" s="1">
        <v>13</v>
      </c>
    </row>
    <row r="26" spans="1:3" x14ac:dyDescent="0.25">
      <c r="A26" s="1" t="s">
        <v>3</v>
      </c>
      <c r="B26" s="1" t="str">
        <f t="shared" si="1"/>
        <v>Utilities</v>
      </c>
      <c r="C26" s="1">
        <v>12</v>
      </c>
    </row>
    <row r="27" spans="1:3" x14ac:dyDescent="0.25">
      <c r="A27" s="1" t="s">
        <v>17</v>
      </c>
      <c r="B27" s="1" t="str">
        <f t="shared" si="1"/>
        <v>Information</v>
      </c>
      <c r="C27" s="1">
        <v>11</v>
      </c>
    </row>
    <row r="28" spans="1:3" x14ac:dyDescent="0.25">
      <c r="A28" s="1" t="s">
        <v>9</v>
      </c>
      <c r="B28" s="1" t="str">
        <f t="shared" si="1"/>
        <v>Management of Companies &amp; Support Services</v>
      </c>
      <c r="C28" s="1">
        <v>10</v>
      </c>
    </row>
    <row r="29" spans="1:3" x14ac:dyDescent="0.25">
      <c r="A29" s="1" t="s">
        <v>4</v>
      </c>
      <c r="B29" s="1" t="str">
        <f t="shared" si="1"/>
        <v>Accommodation &amp; Food Services</v>
      </c>
      <c r="C29" s="1">
        <v>9</v>
      </c>
    </row>
    <row r="30" spans="1:3" x14ac:dyDescent="0.25">
      <c r="A30" s="1" t="s">
        <v>42</v>
      </c>
      <c r="B30" s="1" t="str">
        <f t="shared" si="1"/>
        <v>Arts, Entertainment &amp; Recreation</v>
      </c>
      <c r="C30" s="1">
        <v>8</v>
      </c>
    </row>
    <row r="31" spans="1:3" x14ac:dyDescent="0.25">
      <c r="A31" s="1" t="s">
        <v>2</v>
      </c>
      <c r="B31" s="1" t="str">
        <f t="shared" si="1"/>
        <v>Health Care &amp; Social Assistance</v>
      </c>
      <c r="C31" s="1">
        <v>7</v>
      </c>
    </row>
    <row r="32" spans="1:3" x14ac:dyDescent="0.25">
      <c r="A32" s="1" t="s">
        <v>6</v>
      </c>
      <c r="B32" s="1" t="str">
        <f t="shared" si="1"/>
        <v>Wholesale Trade</v>
      </c>
      <c r="C32" s="1">
        <v>6</v>
      </c>
    </row>
    <row r="33" spans="1:3" x14ac:dyDescent="0.25">
      <c r="A33" s="1" t="s">
        <v>7</v>
      </c>
      <c r="B33" s="1" t="str">
        <f t="shared" si="1"/>
        <v>Construction</v>
      </c>
      <c r="C33" s="1">
        <v>5</v>
      </c>
    </row>
    <row r="34" spans="1:3" x14ac:dyDescent="0.25">
      <c r="A34" s="1" t="s">
        <v>12</v>
      </c>
      <c r="B34" s="1" t="str">
        <f t="shared" si="1"/>
        <v>Educational Services</v>
      </c>
      <c r="C34" s="1">
        <v>4</v>
      </c>
    </row>
    <row r="35" spans="1:3" x14ac:dyDescent="0.25">
      <c r="A35" s="1" t="s">
        <v>11</v>
      </c>
      <c r="B35" s="1" t="str">
        <f t="shared" si="1"/>
        <v>Finance &amp; Insurance</v>
      </c>
      <c r="C35" s="1">
        <v>3</v>
      </c>
    </row>
    <row r="36" spans="1:3" x14ac:dyDescent="0.25">
      <c r="A36" s="1" t="s">
        <v>32</v>
      </c>
      <c r="B36" s="1" t="str">
        <f t="shared" si="1"/>
        <v>Professional, Scientific &amp; Technical Services</v>
      </c>
      <c r="C36" s="1">
        <v>2</v>
      </c>
    </row>
    <row r="37" spans="1:3" x14ac:dyDescent="0.25">
      <c r="A37" s="1" t="s">
        <v>34</v>
      </c>
      <c r="B37" s="1" t="str">
        <f t="shared" si="1"/>
        <v>Public Administration</v>
      </c>
      <c r="C37" s="1">
        <v>1</v>
      </c>
    </row>
    <row r="39" spans="1:3" x14ac:dyDescent="0.25">
      <c r="A39" s="39" t="s">
        <v>21</v>
      </c>
      <c r="B39" s="39"/>
      <c r="C39" s="39"/>
    </row>
    <row r="40" spans="1:3" x14ac:dyDescent="0.25">
      <c r="A40" s="1" t="s">
        <v>1</v>
      </c>
      <c r="B40" s="1" t="str">
        <f t="shared" ref="B40:B55" si="2">TRIM(A40)</f>
        <v>Arts, Entertainment &amp; Recreation</v>
      </c>
      <c r="C40" s="1">
        <v>12</v>
      </c>
    </row>
    <row r="41" spans="1:3" x14ac:dyDescent="0.25">
      <c r="A41" s="1" t="s">
        <v>13</v>
      </c>
      <c r="B41" s="1" t="str">
        <f t="shared" si="2"/>
        <v>Agriculture, Forestry, Fishing &amp; Hunting</v>
      </c>
      <c r="C41" s="1">
        <v>11</v>
      </c>
    </row>
    <row r="42" spans="1:3" x14ac:dyDescent="0.25">
      <c r="A42" s="1" t="s">
        <v>5</v>
      </c>
      <c r="B42" s="1" t="str">
        <f t="shared" si="2"/>
        <v>Transportation &amp; Warehousing</v>
      </c>
      <c r="C42" s="1">
        <v>10</v>
      </c>
    </row>
    <row r="43" spans="1:3" x14ac:dyDescent="0.25">
      <c r="A43" s="1" t="s">
        <v>7</v>
      </c>
      <c r="B43" s="1" t="str">
        <f t="shared" si="2"/>
        <v>Construction</v>
      </c>
      <c r="C43" s="1">
        <v>9</v>
      </c>
    </row>
    <row r="44" spans="1:3" x14ac:dyDescent="0.25">
      <c r="A44" s="1" t="s">
        <v>8</v>
      </c>
      <c r="B44" s="1" t="str">
        <f t="shared" si="2"/>
        <v>Retail Trade</v>
      </c>
      <c r="C44" s="1">
        <v>8</v>
      </c>
    </row>
    <row r="45" spans="1:3" x14ac:dyDescent="0.25">
      <c r="A45" s="1" t="s">
        <v>6</v>
      </c>
      <c r="B45" s="1" t="str">
        <f t="shared" si="2"/>
        <v>Wholesale Trade</v>
      </c>
      <c r="C45" s="1">
        <v>7</v>
      </c>
    </row>
    <row r="46" spans="1:3" x14ac:dyDescent="0.25">
      <c r="A46" s="1" t="s">
        <v>12</v>
      </c>
      <c r="B46" s="1" t="str">
        <f t="shared" si="2"/>
        <v>Educational Services</v>
      </c>
      <c r="C46" s="1">
        <v>6</v>
      </c>
    </row>
    <row r="47" spans="1:3" x14ac:dyDescent="0.25">
      <c r="A47" s="1" t="s">
        <v>22</v>
      </c>
      <c r="B47" s="1" t="str">
        <f t="shared" si="2"/>
        <v>Other Services</v>
      </c>
      <c r="C47" s="1">
        <v>5</v>
      </c>
    </row>
    <row r="48" spans="1:3" x14ac:dyDescent="0.25">
      <c r="A48" s="1" t="s">
        <v>17</v>
      </c>
      <c r="B48" s="1" t="str">
        <f t="shared" si="2"/>
        <v>Information</v>
      </c>
      <c r="C48" s="1">
        <v>4</v>
      </c>
    </row>
    <row r="49" spans="1:3" x14ac:dyDescent="0.25">
      <c r="A49" s="1" t="s">
        <v>3</v>
      </c>
      <c r="B49" s="1" t="str">
        <f t="shared" si="2"/>
        <v>Utilities</v>
      </c>
      <c r="C49" s="1">
        <v>3</v>
      </c>
    </row>
    <row r="50" spans="1:3" x14ac:dyDescent="0.25">
      <c r="A50" s="1" t="s">
        <v>11</v>
      </c>
      <c r="B50" s="1" t="str">
        <f t="shared" si="2"/>
        <v>Finance &amp; Insurance</v>
      </c>
      <c r="C50" s="1">
        <v>2</v>
      </c>
    </row>
    <row r="51" spans="1:3" x14ac:dyDescent="0.25">
      <c r="A51" s="1" t="s">
        <v>15</v>
      </c>
      <c r="B51" s="1" t="str">
        <f t="shared" si="2"/>
        <v>Professional, Scientific &amp; Technical Services</v>
      </c>
      <c r="C51" s="1">
        <v>1</v>
      </c>
    </row>
    <row r="52" spans="1:3" x14ac:dyDescent="0.25">
      <c r="A52" s="1" t="s">
        <v>41</v>
      </c>
      <c r="B52" s="1" t="str">
        <f t="shared" si="2"/>
        <v>Management of Companies &amp; Support Services</v>
      </c>
      <c r="C52" s="1">
        <v>-4</v>
      </c>
    </row>
    <row r="53" spans="1:3" x14ac:dyDescent="0.25">
      <c r="A53" s="1" t="s">
        <v>10</v>
      </c>
      <c r="B53" s="1" t="str">
        <f t="shared" si="2"/>
        <v>Public Administration</v>
      </c>
      <c r="C53" s="1">
        <v>-3</v>
      </c>
    </row>
    <row r="54" spans="1:3" x14ac:dyDescent="0.25">
      <c r="A54" s="1" t="s">
        <v>2</v>
      </c>
      <c r="B54" s="1" t="str">
        <f t="shared" si="2"/>
        <v>Health Care &amp; Social Assistance</v>
      </c>
      <c r="C54" s="1">
        <v>-2</v>
      </c>
    </row>
    <row r="55" spans="1:3" x14ac:dyDescent="0.25">
      <c r="A55" s="1" t="s">
        <v>31</v>
      </c>
      <c r="B55" s="1" t="str">
        <f t="shared" si="2"/>
        <v>Accommodation &amp; Food Services</v>
      </c>
      <c r="C55" s="1">
        <v>-1</v>
      </c>
    </row>
    <row r="57" spans="1:3" x14ac:dyDescent="0.25">
      <c r="A57" s="39" t="s">
        <v>24</v>
      </c>
      <c r="B57" s="39"/>
      <c r="C57" s="39"/>
    </row>
    <row r="58" spans="1:3" x14ac:dyDescent="0.25">
      <c r="A58" s="1" t="s">
        <v>29</v>
      </c>
      <c r="B58" s="1" t="str">
        <f t="shared" ref="B58:B74" si="3">TRIM(A58)</f>
        <v>Real Estate, Rental &amp; Leasing</v>
      </c>
      <c r="C58" s="1">
        <v>-17</v>
      </c>
    </row>
    <row r="59" spans="1:3" x14ac:dyDescent="0.25">
      <c r="A59" s="1" t="s">
        <v>8</v>
      </c>
      <c r="B59" s="1" t="str">
        <f t="shared" si="3"/>
        <v>Retail Trade</v>
      </c>
      <c r="C59" s="1">
        <v>-16</v>
      </c>
    </row>
    <row r="60" spans="1:3" x14ac:dyDescent="0.25">
      <c r="A60" s="1" t="s">
        <v>4</v>
      </c>
      <c r="B60" s="1" t="str">
        <f t="shared" si="3"/>
        <v>Accommodation &amp; Food Services</v>
      </c>
      <c r="C60" s="1">
        <v>-15</v>
      </c>
    </row>
    <row r="61" spans="1:3" x14ac:dyDescent="0.25">
      <c r="A61" s="1" t="s">
        <v>7</v>
      </c>
      <c r="B61" s="1" t="str">
        <f t="shared" si="3"/>
        <v>Construction</v>
      </c>
      <c r="C61" s="1">
        <v>-14</v>
      </c>
    </row>
    <row r="62" spans="1:3" x14ac:dyDescent="0.25">
      <c r="A62" s="1" t="s">
        <v>3</v>
      </c>
      <c r="B62" s="1" t="str">
        <f t="shared" si="3"/>
        <v>Utilities</v>
      </c>
      <c r="C62" s="1">
        <v>-13</v>
      </c>
    </row>
    <row r="63" spans="1:3" x14ac:dyDescent="0.25">
      <c r="A63" s="1" t="s">
        <v>2</v>
      </c>
      <c r="B63" s="1" t="str">
        <f t="shared" si="3"/>
        <v>Health Care &amp; Social Assistance</v>
      </c>
      <c r="C63" s="1">
        <v>-12</v>
      </c>
    </row>
    <row r="64" spans="1:3" x14ac:dyDescent="0.25">
      <c r="A64" s="1" t="s">
        <v>5</v>
      </c>
      <c r="B64" s="1" t="str">
        <f t="shared" si="3"/>
        <v>Transportation &amp; Warehousing</v>
      </c>
      <c r="C64" s="1">
        <v>-11</v>
      </c>
    </row>
    <row r="65" spans="1:3" x14ac:dyDescent="0.25">
      <c r="A65" s="1" t="s">
        <v>12</v>
      </c>
      <c r="B65" s="1" t="str">
        <f t="shared" si="3"/>
        <v>Educational Services</v>
      </c>
      <c r="C65" s="1">
        <v>-10</v>
      </c>
    </row>
    <row r="66" spans="1:3" x14ac:dyDescent="0.25">
      <c r="A66" s="1" t="s">
        <v>9</v>
      </c>
      <c r="B66" s="1" t="str">
        <f t="shared" si="3"/>
        <v>Management of Companies &amp; Support Services</v>
      </c>
      <c r="C66" s="1">
        <v>-9</v>
      </c>
    </row>
    <row r="67" spans="1:3" x14ac:dyDescent="0.25">
      <c r="A67" s="1" t="s">
        <v>22</v>
      </c>
      <c r="B67" s="1" t="str">
        <f t="shared" si="3"/>
        <v>Other Services</v>
      </c>
      <c r="C67" s="1">
        <v>-8</v>
      </c>
    </row>
    <row r="68" spans="1:3" x14ac:dyDescent="0.25">
      <c r="A68" s="1" t="s">
        <v>13</v>
      </c>
      <c r="B68" s="1" t="str">
        <f t="shared" si="3"/>
        <v>Agriculture, Forestry, Fishing &amp; Hunting</v>
      </c>
      <c r="C68" s="1">
        <v>-7</v>
      </c>
    </row>
    <row r="69" spans="1:3" x14ac:dyDescent="0.25">
      <c r="A69" s="1" t="s">
        <v>6</v>
      </c>
      <c r="B69" s="1" t="str">
        <f t="shared" si="3"/>
        <v>Wholesale Trade</v>
      </c>
      <c r="C69" s="1">
        <v>-6</v>
      </c>
    </row>
    <row r="70" spans="1:3" x14ac:dyDescent="0.25">
      <c r="A70" s="1" t="s">
        <v>10</v>
      </c>
      <c r="B70" s="1" t="str">
        <f t="shared" si="3"/>
        <v>Public Administration</v>
      </c>
      <c r="C70" s="1">
        <v>-5</v>
      </c>
    </row>
    <row r="71" spans="1:3" x14ac:dyDescent="0.25">
      <c r="A71" s="1" t="s">
        <v>42</v>
      </c>
      <c r="B71" s="1" t="str">
        <f t="shared" si="3"/>
        <v>Arts, Entertainment &amp; Recreation</v>
      </c>
      <c r="C71" s="1">
        <v>-4</v>
      </c>
    </row>
    <row r="72" spans="1:3" x14ac:dyDescent="0.25">
      <c r="A72" s="1" t="s">
        <v>32</v>
      </c>
      <c r="B72" s="1" t="str">
        <f t="shared" si="3"/>
        <v>Professional, Scientific &amp; Technical Services</v>
      </c>
      <c r="C72" s="1">
        <v>-3</v>
      </c>
    </row>
    <row r="73" spans="1:3" x14ac:dyDescent="0.25">
      <c r="A73" s="1" t="s">
        <v>17</v>
      </c>
      <c r="B73" s="1" t="str">
        <f t="shared" si="3"/>
        <v>Information</v>
      </c>
      <c r="C73" s="1">
        <v>-2</v>
      </c>
    </row>
    <row r="74" spans="1:3" x14ac:dyDescent="0.25">
      <c r="A74" s="1" t="s">
        <v>23</v>
      </c>
      <c r="B74" s="1" t="str">
        <f t="shared" si="3"/>
        <v>Finance &amp; Insurance</v>
      </c>
      <c r="C74" s="1">
        <v>-1</v>
      </c>
    </row>
    <row r="76" spans="1:3" x14ac:dyDescent="0.25">
      <c r="A76" s="39" t="s">
        <v>26</v>
      </c>
      <c r="B76" s="39"/>
      <c r="C76" s="39"/>
    </row>
    <row r="77" spans="1:3" x14ac:dyDescent="0.25">
      <c r="A77" s="1" t="s">
        <v>1</v>
      </c>
      <c r="B77" s="1" t="str">
        <f t="shared" ref="B77:B88" si="4">TRIM(A77)</f>
        <v>Arts, Entertainment &amp; Recreation</v>
      </c>
      <c r="C77" s="1">
        <v>6</v>
      </c>
    </row>
    <row r="78" spans="1:3" x14ac:dyDescent="0.25">
      <c r="A78" s="1" t="s">
        <v>4</v>
      </c>
      <c r="B78" s="1" t="str">
        <f t="shared" si="4"/>
        <v>Accommodation &amp; Food Services</v>
      </c>
      <c r="C78" s="1">
        <v>5</v>
      </c>
    </row>
    <row r="79" spans="1:3" x14ac:dyDescent="0.25">
      <c r="A79" s="1" t="s">
        <v>7</v>
      </c>
      <c r="B79" s="1" t="str">
        <f t="shared" si="4"/>
        <v>Construction</v>
      </c>
      <c r="C79" s="1">
        <v>4</v>
      </c>
    </row>
    <row r="80" spans="1:3" x14ac:dyDescent="0.25">
      <c r="A80" s="1" t="s">
        <v>12</v>
      </c>
      <c r="B80" s="1" t="str">
        <f t="shared" si="4"/>
        <v>Educational Services</v>
      </c>
      <c r="C80" s="1">
        <v>3</v>
      </c>
    </row>
    <row r="81" spans="1:3" x14ac:dyDescent="0.25">
      <c r="A81" s="1" t="s">
        <v>3</v>
      </c>
      <c r="B81" s="1" t="str">
        <f t="shared" si="4"/>
        <v>Utilities</v>
      </c>
      <c r="C81" s="1">
        <v>2</v>
      </c>
    </row>
    <row r="82" spans="1:3" x14ac:dyDescent="0.25">
      <c r="A82" s="1" t="s">
        <v>43</v>
      </c>
      <c r="B82" s="1" t="str">
        <f t="shared" si="4"/>
        <v>Health Care &amp; Social Assistance</v>
      </c>
      <c r="C82" s="1">
        <v>1</v>
      </c>
    </row>
    <row r="83" spans="1:3" x14ac:dyDescent="0.25">
      <c r="A83" s="1" t="s">
        <v>29</v>
      </c>
      <c r="B83" s="1" t="str">
        <f t="shared" si="4"/>
        <v>Real Estate, Rental &amp; Leasing</v>
      </c>
      <c r="C83" s="1">
        <v>-6</v>
      </c>
    </row>
    <row r="84" spans="1:3" x14ac:dyDescent="0.25">
      <c r="A84" s="1" t="s">
        <v>33</v>
      </c>
      <c r="B84" s="1" t="str">
        <f t="shared" si="4"/>
        <v>Mining</v>
      </c>
      <c r="C84" s="1">
        <v>-5</v>
      </c>
    </row>
    <row r="85" spans="1:3" x14ac:dyDescent="0.25">
      <c r="A85" s="1" t="s">
        <v>8</v>
      </c>
      <c r="B85" s="1" t="str">
        <f t="shared" si="4"/>
        <v>Retail Trade</v>
      </c>
      <c r="C85" s="1">
        <v>-4</v>
      </c>
    </row>
    <row r="86" spans="1:3" x14ac:dyDescent="0.25">
      <c r="A86" s="1" t="s">
        <v>5</v>
      </c>
      <c r="B86" s="1" t="str">
        <f t="shared" si="4"/>
        <v>Transportation &amp; Warehousing</v>
      </c>
      <c r="C86" s="1">
        <v>-3</v>
      </c>
    </row>
    <row r="87" spans="1:3" x14ac:dyDescent="0.25">
      <c r="A87" s="1" t="s">
        <v>32</v>
      </c>
      <c r="B87" s="1" t="str">
        <f t="shared" si="4"/>
        <v>Professional, Scientific &amp; Technical Services</v>
      </c>
      <c r="C87" s="1">
        <v>-2</v>
      </c>
    </row>
    <row r="88" spans="1:3" x14ac:dyDescent="0.25">
      <c r="A88" s="1" t="s">
        <v>28</v>
      </c>
      <c r="B88" s="1" t="str">
        <f t="shared" si="4"/>
        <v>Information</v>
      </c>
      <c r="C88" s="1">
        <v>-1</v>
      </c>
    </row>
    <row r="90" spans="1:3" x14ac:dyDescent="0.25">
      <c r="A90" s="39" t="s">
        <v>30</v>
      </c>
      <c r="B90" s="39"/>
      <c r="C90" s="39"/>
    </row>
    <row r="91" spans="1:3" x14ac:dyDescent="0.25">
      <c r="A91" s="1" t="s">
        <v>1</v>
      </c>
      <c r="B91" s="1" t="str">
        <f t="shared" ref="B91:B108" si="5">TRIM(A91)</f>
        <v>Arts, Entertainment &amp; Recreation</v>
      </c>
      <c r="C91" s="1">
        <v>18</v>
      </c>
    </row>
    <row r="92" spans="1:3" x14ac:dyDescent="0.25">
      <c r="A92" s="1" t="s">
        <v>14</v>
      </c>
      <c r="B92" s="1" t="str">
        <f t="shared" si="5"/>
        <v>Real Estate, Rental &amp; Leasing</v>
      </c>
      <c r="C92" s="1">
        <v>17</v>
      </c>
    </row>
    <row r="93" spans="1:3" x14ac:dyDescent="0.25">
      <c r="A93" s="1" t="s">
        <v>9</v>
      </c>
      <c r="B93" s="1" t="str">
        <f t="shared" si="5"/>
        <v>Management of Companies &amp; Support Services</v>
      </c>
      <c r="C93" s="1">
        <v>16</v>
      </c>
    </row>
    <row r="94" spans="1:3" x14ac:dyDescent="0.25">
      <c r="A94" s="1" t="s">
        <v>6</v>
      </c>
      <c r="B94" s="1" t="str">
        <f t="shared" si="5"/>
        <v>Wholesale Trade</v>
      </c>
      <c r="C94" s="1">
        <v>15</v>
      </c>
    </row>
    <row r="95" spans="1:3" x14ac:dyDescent="0.25">
      <c r="A95" s="1" t="s">
        <v>3</v>
      </c>
      <c r="B95" s="1" t="str">
        <f t="shared" si="5"/>
        <v>Utilities</v>
      </c>
      <c r="C95" s="1">
        <v>14</v>
      </c>
    </row>
    <row r="96" spans="1:3" x14ac:dyDescent="0.25">
      <c r="A96" s="1" t="s">
        <v>22</v>
      </c>
      <c r="B96" s="1" t="str">
        <f t="shared" si="5"/>
        <v>Other Services</v>
      </c>
      <c r="C96" s="1">
        <v>13</v>
      </c>
    </row>
    <row r="97" spans="1:3" x14ac:dyDescent="0.25">
      <c r="A97" s="1" t="s">
        <v>10</v>
      </c>
      <c r="B97" s="1" t="str">
        <f t="shared" si="5"/>
        <v>Public Administration</v>
      </c>
      <c r="C97" s="1">
        <v>12</v>
      </c>
    </row>
    <row r="98" spans="1:3" x14ac:dyDescent="0.25">
      <c r="A98" s="1" t="s">
        <v>5</v>
      </c>
      <c r="B98" s="1" t="str">
        <f t="shared" si="5"/>
        <v>Transportation &amp; Warehousing</v>
      </c>
      <c r="C98" s="1">
        <v>11</v>
      </c>
    </row>
    <row r="99" spans="1:3" x14ac:dyDescent="0.25">
      <c r="A99" s="1" t="s">
        <v>12</v>
      </c>
      <c r="B99" s="1" t="str">
        <f t="shared" si="5"/>
        <v>Educational Services</v>
      </c>
      <c r="C99" s="1">
        <v>10</v>
      </c>
    </row>
    <row r="100" spans="1:3" x14ac:dyDescent="0.25">
      <c r="A100" s="1" t="s">
        <v>8</v>
      </c>
      <c r="B100" s="1" t="str">
        <f t="shared" si="5"/>
        <v>Retail Trade</v>
      </c>
      <c r="C100" s="1">
        <v>9</v>
      </c>
    </row>
    <row r="101" spans="1:3" x14ac:dyDescent="0.25">
      <c r="A101" s="1" t="s">
        <v>17</v>
      </c>
      <c r="B101" s="1" t="str">
        <f t="shared" si="5"/>
        <v>Information</v>
      </c>
      <c r="C101" s="1">
        <v>8</v>
      </c>
    </row>
    <row r="102" spans="1:3" x14ac:dyDescent="0.25">
      <c r="A102" s="1" t="s">
        <v>7</v>
      </c>
      <c r="B102" s="1" t="str">
        <f t="shared" si="5"/>
        <v>Construction</v>
      </c>
      <c r="C102" s="1">
        <v>7</v>
      </c>
    </row>
    <row r="103" spans="1:3" x14ac:dyDescent="0.25">
      <c r="A103" s="1" t="s">
        <v>4</v>
      </c>
      <c r="B103" s="1" t="str">
        <f t="shared" si="5"/>
        <v>Accommodation &amp; Food Services</v>
      </c>
      <c r="C103" s="1">
        <v>6</v>
      </c>
    </row>
    <row r="104" spans="1:3" x14ac:dyDescent="0.25">
      <c r="A104" s="1" t="s">
        <v>13</v>
      </c>
      <c r="B104" s="1" t="str">
        <f t="shared" si="5"/>
        <v>Agriculture, Forestry, Fishing &amp; Hunting</v>
      </c>
      <c r="C104" s="1">
        <v>5</v>
      </c>
    </row>
    <row r="105" spans="1:3" x14ac:dyDescent="0.25">
      <c r="A105" s="1" t="s">
        <v>32</v>
      </c>
      <c r="B105" s="1" t="str">
        <f t="shared" si="5"/>
        <v>Professional, Scientific &amp; Technical Services</v>
      </c>
      <c r="C105" s="1">
        <v>4</v>
      </c>
    </row>
    <row r="106" spans="1:3" x14ac:dyDescent="0.25">
      <c r="A106" s="1" t="s">
        <v>11</v>
      </c>
      <c r="B106" s="1" t="str">
        <f t="shared" si="5"/>
        <v>Finance &amp; Insurance</v>
      </c>
      <c r="C106" s="1">
        <v>3</v>
      </c>
    </row>
    <row r="107" spans="1:3" x14ac:dyDescent="0.25">
      <c r="A107" s="1" t="s">
        <v>33</v>
      </c>
      <c r="B107" s="1" t="str">
        <f t="shared" si="5"/>
        <v>Mining</v>
      </c>
      <c r="C107" s="1">
        <v>2</v>
      </c>
    </row>
    <row r="108" spans="1:3" x14ac:dyDescent="0.25">
      <c r="A108" s="1" t="s">
        <v>43</v>
      </c>
      <c r="B108" s="1" t="str">
        <f t="shared" si="5"/>
        <v>Health Care &amp; Social Assistance</v>
      </c>
      <c r="C108" s="1">
        <v>1</v>
      </c>
    </row>
    <row r="110" spans="1:3" x14ac:dyDescent="0.25">
      <c r="A110" s="39" t="s">
        <v>3818</v>
      </c>
      <c r="B110" s="39"/>
      <c r="C110" s="39"/>
    </row>
    <row r="111" spans="1:3" x14ac:dyDescent="0.25">
      <c r="A111" s="2" t="s">
        <v>29</v>
      </c>
      <c r="B111" s="1" t="str">
        <f t="shared" ref="B111:B127" si="6">TRIM(A111)</f>
        <v>Real Estate, Rental &amp; Leasing</v>
      </c>
      <c r="C111" s="2">
        <v>17</v>
      </c>
    </row>
    <row r="112" spans="1:3" x14ac:dyDescent="0.25">
      <c r="A112" s="2" t="s">
        <v>8</v>
      </c>
      <c r="B112" s="1" t="str">
        <f t="shared" si="6"/>
        <v>Retail Trade</v>
      </c>
      <c r="C112" s="2">
        <v>16</v>
      </c>
    </row>
    <row r="113" spans="1:3" x14ac:dyDescent="0.25">
      <c r="A113" s="2" t="s">
        <v>17</v>
      </c>
      <c r="B113" s="1" t="str">
        <f t="shared" si="6"/>
        <v>Information</v>
      </c>
      <c r="C113" s="2">
        <v>15</v>
      </c>
    </row>
    <row r="114" spans="1:3" x14ac:dyDescent="0.25">
      <c r="A114" s="2" t="s">
        <v>5</v>
      </c>
      <c r="B114" s="1" t="str">
        <f t="shared" si="6"/>
        <v>Transportation &amp; Warehousing</v>
      </c>
      <c r="C114" s="2">
        <v>14</v>
      </c>
    </row>
    <row r="115" spans="1:3" x14ac:dyDescent="0.25">
      <c r="A115" s="2" t="s">
        <v>12</v>
      </c>
      <c r="B115" s="1" t="str">
        <f t="shared" si="6"/>
        <v>Educational Services</v>
      </c>
      <c r="C115" s="2">
        <v>13</v>
      </c>
    </row>
    <row r="116" spans="1:3" x14ac:dyDescent="0.25">
      <c r="A116" s="2" t="s">
        <v>3</v>
      </c>
      <c r="B116" s="1" t="str">
        <f t="shared" si="6"/>
        <v>Utilities</v>
      </c>
      <c r="C116" s="2">
        <v>12</v>
      </c>
    </row>
    <row r="117" spans="1:3" x14ac:dyDescent="0.25">
      <c r="A117" s="2" t="s">
        <v>2</v>
      </c>
      <c r="B117" s="1" t="str">
        <f t="shared" si="6"/>
        <v>Health Care &amp; Social Assistance</v>
      </c>
      <c r="C117" s="2">
        <v>11</v>
      </c>
    </row>
    <row r="118" spans="1:3" x14ac:dyDescent="0.25">
      <c r="A118" s="2" t="s">
        <v>42</v>
      </c>
      <c r="B118" s="1" t="str">
        <f t="shared" si="6"/>
        <v>Arts, Entertainment &amp; Recreation</v>
      </c>
      <c r="C118" s="2">
        <v>10</v>
      </c>
    </row>
    <row r="119" spans="1:3" x14ac:dyDescent="0.25">
      <c r="A119" s="2" t="s">
        <v>33</v>
      </c>
      <c r="B119" s="1" t="str">
        <f t="shared" si="6"/>
        <v>Mining</v>
      </c>
      <c r="C119" s="2">
        <v>9</v>
      </c>
    </row>
    <row r="120" spans="1:3" x14ac:dyDescent="0.25">
      <c r="A120" s="2" t="s">
        <v>6</v>
      </c>
      <c r="B120" s="1" t="str">
        <f t="shared" si="6"/>
        <v>Wholesale Trade</v>
      </c>
      <c r="C120" s="2">
        <v>8</v>
      </c>
    </row>
    <row r="121" spans="1:3" x14ac:dyDescent="0.25">
      <c r="A121" s="2" t="s">
        <v>11</v>
      </c>
      <c r="B121" s="1" t="str">
        <f t="shared" si="6"/>
        <v>Finance &amp; Insurance</v>
      </c>
      <c r="C121" s="2">
        <v>7</v>
      </c>
    </row>
    <row r="122" spans="1:3" x14ac:dyDescent="0.25">
      <c r="A122" s="2" t="s">
        <v>9</v>
      </c>
      <c r="B122" s="1" t="str">
        <f t="shared" si="6"/>
        <v>Management of Companies &amp; Support Services</v>
      </c>
      <c r="C122" s="2">
        <v>6</v>
      </c>
    </row>
    <row r="123" spans="1:3" x14ac:dyDescent="0.25">
      <c r="A123" s="2" t="s">
        <v>22</v>
      </c>
      <c r="B123" s="1" t="str">
        <f t="shared" si="6"/>
        <v>Other Services</v>
      </c>
      <c r="C123" s="2">
        <v>5</v>
      </c>
    </row>
    <row r="124" spans="1:3" x14ac:dyDescent="0.25">
      <c r="A124" s="2" t="s">
        <v>7</v>
      </c>
      <c r="B124" s="1" t="str">
        <f t="shared" si="6"/>
        <v>Construction</v>
      </c>
      <c r="C124" s="2">
        <v>4</v>
      </c>
    </row>
    <row r="125" spans="1:3" x14ac:dyDescent="0.25">
      <c r="A125" s="2" t="s">
        <v>4</v>
      </c>
      <c r="B125" s="1" t="str">
        <f t="shared" si="6"/>
        <v>Accommodation &amp; Food Services</v>
      </c>
      <c r="C125" s="2">
        <v>3</v>
      </c>
    </row>
    <row r="126" spans="1:3" x14ac:dyDescent="0.25">
      <c r="A126" s="2" t="s">
        <v>32</v>
      </c>
      <c r="B126" s="1" t="str">
        <f t="shared" si="6"/>
        <v>Professional, Scientific &amp; Technical Services</v>
      </c>
      <c r="C126" s="2">
        <v>2</v>
      </c>
    </row>
    <row r="127" spans="1:3" x14ac:dyDescent="0.25">
      <c r="A127" s="2" t="s">
        <v>34</v>
      </c>
      <c r="B127" s="1" t="str">
        <f t="shared" si="6"/>
        <v>Public Administration</v>
      </c>
      <c r="C127" s="2">
        <v>1</v>
      </c>
    </row>
  </sheetData>
  <mergeCells count="7">
    <mergeCell ref="A110:C110"/>
    <mergeCell ref="A90:C90"/>
    <mergeCell ref="A1:C1"/>
    <mergeCell ref="A21:C21"/>
    <mergeCell ref="A39:C39"/>
    <mergeCell ref="A57:C57"/>
    <mergeCell ref="A76:C76"/>
  </mergeCells>
  <pageMargins left="0.78749999999999998" right="0.78749999999999998" top="1.05277777777778" bottom="1.05277777777778" header="0.78749999999999998" footer="0.78749999999999998"/>
  <pageSetup paperSize="9" firstPageNumber="0" orientation="portrait" horizontalDpi="300" verticalDpi="300"/>
  <headerFooter>
    <oddHeader>&amp;C&amp;"Times New Roman,Regular"&amp;12&amp;A</oddHeader>
    <oddFooter>&amp;C&amp;"Times New Roman,Regular"&amp;12Page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G131"/>
  <sheetViews>
    <sheetView zoomScaleNormal="100" workbookViewId="0">
      <selection activeCell="F1" sqref="F1:F1048576"/>
    </sheetView>
  </sheetViews>
  <sheetFormatPr defaultRowHeight="15" x14ac:dyDescent="0.25"/>
  <cols>
    <col min="1" max="1" width="43.28515625" customWidth="1"/>
    <col min="2" max="2" width="43.42578125" bestFit="1" customWidth="1"/>
  </cols>
  <sheetData>
    <row r="1" spans="1:7" x14ac:dyDescent="0.25">
      <c r="A1" s="39" t="s">
        <v>0</v>
      </c>
      <c r="B1" s="39"/>
      <c r="C1" s="39"/>
    </row>
    <row r="2" spans="1:7" x14ac:dyDescent="0.25">
      <c r="A2" s="1" t="s">
        <v>29</v>
      </c>
      <c r="B2" s="1" t="str">
        <f t="shared" ref="B2:B19" si="0">TRIM(A2)</f>
        <v>Real Estate, Rental &amp; Leasing</v>
      </c>
      <c r="C2" s="1">
        <v>18</v>
      </c>
    </row>
    <row r="3" spans="1:7" x14ac:dyDescent="0.25">
      <c r="A3" s="1" t="s">
        <v>5</v>
      </c>
      <c r="B3" s="1" t="str">
        <f t="shared" si="0"/>
        <v>Transportation &amp; Warehousing</v>
      </c>
      <c r="C3" s="1">
        <v>17</v>
      </c>
      <c r="F3" t="s">
        <v>31</v>
      </c>
      <c r="G3" s="29" t="s">
        <v>3866</v>
      </c>
    </row>
    <row r="4" spans="1:7" x14ac:dyDescent="0.25">
      <c r="A4" s="1" t="s">
        <v>8</v>
      </c>
      <c r="B4" s="1" t="str">
        <f t="shared" si="0"/>
        <v>Retail Trade</v>
      </c>
      <c r="C4" s="1">
        <v>16</v>
      </c>
      <c r="F4" t="s">
        <v>35</v>
      </c>
      <c r="G4" s="29" t="s">
        <v>3867</v>
      </c>
    </row>
    <row r="5" spans="1:7" x14ac:dyDescent="0.25">
      <c r="A5" s="1" t="s">
        <v>13</v>
      </c>
      <c r="B5" s="1" t="str">
        <f t="shared" si="0"/>
        <v>Agriculture, Forestry, Fishing &amp; Hunting</v>
      </c>
      <c r="C5" s="1">
        <v>15</v>
      </c>
      <c r="F5" t="s">
        <v>1</v>
      </c>
      <c r="G5" s="29" t="s">
        <v>3868</v>
      </c>
    </row>
    <row r="6" spans="1:7" x14ac:dyDescent="0.25">
      <c r="A6" s="1" t="s">
        <v>9</v>
      </c>
      <c r="B6" s="1" t="str">
        <f t="shared" si="0"/>
        <v>Management of Companies &amp; Support Services</v>
      </c>
      <c r="C6" s="1">
        <v>14</v>
      </c>
      <c r="F6" t="s">
        <v>20</v>
      </c>
      <c r="G6" s="29" t="s">
        <v>3869</v>
      </c>
    </row>
    <row r="7" spans="1:7" x14ac:dyDescent="0.25">
      <c r="A7" s="1" t="s">
        <v>3</v>
      </c>
      <c r="B7" s="1" t="str">
        <f t="shared" si="0"/>
        <v>Utilities</v>
      </c>
      <c r="C7" s="1">
        <v>13</v>
      </c>
      <c r="F7" t="s">
        <v>27</v>
      </c>
      <c r="G7" s="29" t="s">
        <v>3870</v>
      </c>
    </row>
    <row r="8" spans="1:7" x14ac:dyDescent="0.25">
      <c r="A8" s="1" t="s">
        <v>6</v>
      </c>
      <c r="B8" s="1" t="str">
        <f t="shared" si="0"/>
        <v>Wholesale Trade</v>
      </c>
      <c r="C8" s="1">
        <v>12</v>
      </c>
      <c r="F8" t="s">
        <v>23</v>
      </c>
      <c r="G8" s="29" t="s">
        <v>3871</v>
      </c>
    </row>
    <row r="9" spans="1:7" x14ac:dyDescent="0.25">
      <c r="A9" s="1" t="s">
        <v>33</v>
      </c>
      <c r="B9" s="1" t="str">
        <f t="shared" si="0"/>
        <v>Mining</v>
      </c>
      <c r="C9" s="1">
        <v>11</v>
      </c>
      <c r="F9" t="s">
        <v>43</v>
      </c>
      <c r="G9" s="29" t="s">
        <v>3872</v>
      </c>
    </row>
    <row r="10" spans="1:7" x14ac:dyDescent="0.25">
      <c r="A10" s="1" t="s">
        <v>10</v>
      </c>
      <c r="B10" s="1" t="str">
        <f t="shared" si="0"/>
        <v>Public Administration</v>
      </c>
      <c r="C10" s="1">
        <v>10</v>
      </c>
      <c r="F10" t="s">
        <v>41</v>
      </c>
      <c r="G10" s="29" t="s">
        <v>3873</v>
      </c>
    </row>
    <row r="11" spans="1:7" x14ac:dyDescent="0.25">
      <c r="A11" s="1" t="s">
        <v>7</v>
      </c>
      <c r="B11" s="1" t="str">
        <f t="shared" si="0"/>
        <v>Construction</v>
      </c>
      <c r="C11" s="1">
        <v>9</v>
      </c>
      <c r="F11" t="s">
        <v>34</v>
      </c>
      <c r="G11" s="29" t="s">
        <v>3874</v>
      </c>
    </row>
    <row r="12" spans="1:7" x14ac:dyDescent="0.25">
      <c r="A12" s="1" t="s">
        <v>2</v>
      </c>
      <c r="B12" s="1" t="str">
        <f t="shared" si="0"/>
        <v>Health Care &amp; Social Assistance</v>
      </c>
      <c r="C12" s="1">
        <v>8</v>
      </c>
      <c r="F12" t="s">
        <v>25</v>
      </c>
      <c r="G12" s="29" t="s">
        <v>3875</v>
      </c>
    </row>
    <row r="13" spans="1:7" x14ac:dyDescent="0.25">
      <c r="A13" s="1" t="s">
        <v>42</v>
      </c>
      <c r="B13" s="1" t="str">
        <f t="shared" si="0"/>
        <v>Arts, Entertainment &amp; Recreation</v>
      </c>
      <c r="C13" s="1">
        <v>7</v>
      </c>
      <c r="F13" t="s">
        <v>38</v>
      </c>
      <c r="G13" s="29" t="s">
        <v>3876</v>
      </c>
    </row>
    <row r="14" spans="1:7" x14ac:dyDescent="0.25">
      <c r="A14" s="1" t="s">
        <v>22</v>
      </c>
      <c r="B14" s="1" t="str">
        <f t="shared" si="0"/>
        <v>Other Services</v>
      </c>
      <c r="C14" s="1">
        <v>6</v>
      </c>
      <c r="F14" t="s">
        <v>36</v>
      </c>
      <c r="G14" s="29" t="s">
        <v>3877</v>
      </c>
    </row>
    <row r="15" spans="1:7" x14ac:dyDescent="0.25">
      <c r="A15" s="1" t="s">
        <v>32</v>
      </c>
      <c r="B15" s="1" t="str">
        <f t="shared" si="0"/>
        <v>Professional, Scientific &amp; Technical Services</v>
      </c>
      <c r="C15" s="1">
        <v>5</v>
      </c>
    </row>
    <row r="16" spans="1:7" x14ac:dyDescent="0.25">
      <c r="A16" s="1" t="s">
        <v>11</v>
      </c>
      <c r="B16" s="1" t="str">
        <f t="shared" si="0"/>
        <v>Finance &amp; Insurance</v>
      </c>
      <c r="C16" s="1">
        <v>4</v>
      </c>
    </row>
    <row r="17" spans="1:3" x14ac:dyDescent="0.25">
      <c r="A17" s="1" t="s">
        <v>17</v>
      </c>
      <c r="B17" s="1" t="str">
        <f t="shared" si="0"/>
        <v>Information</v>
      </c>
      <c r="C17" s="1">
        <v>3</v>
      </c>
    </row>
    <row r="18" spans="1:3" x14ac:dyDescent="0.25">
      <c r="A18" s="1" t="s">
        <v>12</v>
      </c>
      <c r="B18" s="1" t="str">
        <f t="shared" si="0"/>
        <v>Educational Services</v>
      </c>
      <c r="C18" s="1">
        <v>2</v>
      </c>
    </row>
    <row r="19" spans="1:3" x14ac:dyDescent="0.25">
      <c r="A19" s="1" t="s">
        <v>31</v>
      </c>
      <c r="B19" s="1" t="str">
        <f t="shared" si="0"/>
        <v>Accommodation &amp; Food Services</v>
      </c>
      <c r="C19" s="1">
        <v>1</v>
      </c>
    </row>
    <row r="21" spans="1:3" x14ac:dyDescent="0.25">
      <c r="A21" s="39" t="s">
        <v>19</v>
      </c>
      <c r="B21" s="39"/>
      <c r="C21" s="39"/>
    </row>
    <row r="22" spans="1:3" x14ac:dyDescent="0.25">
      <c r="A22" s="1" t="s">
        <v>38</v>
      </c>
      <c r="B22" s="1" t="str">
        <f t="shared" ref="B22:B39" si="1">TRIM(A22)</f>
        <v>Transportation &amp; Warehousing</v>
      </c>
      <c r="C22" s="1">
        <v>18</v>
      </c>
    </row>
    <row r="23" spans="1:3" x14ac:dyDescent="0.25">
      <c r="A23" s="1" t="s">
        <v>8</v>
      </c>
      <c r="B23" s="1" t="str">
        <f t="shared" si="1"/>
        <v>Retail Trade</v>
      </c>
      <c r="C23" s="1">
        <v>17</v>
      </c>
    </row>
    <row r="24" spans="1:3" x14ac:dyDescent="0.25">
      <c r="A24" s="1" t="s">
        <v>9</v>
      </c>
      <c r="B24" s="1" t="str">
        <f t="shared" si="1"/>
        <v>Management of Companies &amp; Support Services</v>
      </c>
      <c r="C24" s="1">
        <v>16</v>
      </c>
    </row>
    <row r="25" spans="1:3" x14ac:dyDescent="0.25">
      <c r="A25" s="1" t="s">
        <v>7</v>
      </c>
      <c r="B25" s="1" t="str">
        <f t="shared" si="1"/>
        <v>Construction</v>
      </c>
      <c r="C25" s="1">
        <v>15</v>
      </c>
    </row>
    <row r="26" spans="1:3" x14ac:dyDescent="0.25">
      <c r="A26" s="1" t="s">
        <v>6</v>
      </c>
      <c r="B26" s="1" t="str">
        <f t="shared" si="1"/>
        <v>Wholesale Trade</v>
      </c>
      <c r="C26" s="1">
        <v>14</v>
      </c>
    </row>
    <row r="27" spans="1:3" x14ac:dyDescent="0.25">
      <c r="A27" s="1" t="s">
        <v>33</v>
      </c>
      <c r="B27" s="1" t="str">
        <f t="shared" si="1"/>
        <v>Mining</v>
      </c>
      <c r="C27" s="1">
        <v>13</v>
      </c>
    </row>
    <row r="28" spans="1:3" x14ac:dyDescent="0.25">
      <c r="A28" s="1" t="s">
        <v>2</v>
      </c>
      <c r="B28" s="1" t="str">
        <f t="shared" si="1"/>
        <v>Health Care &amp; Social Assistance</v>
      </c>
      <c r="C28" s="1">
        <v>12</v>
      </c>
    </row>
    <row r="29" spans="1:3" x14ac:dyDescent="0.25">
      <c r="A29" s="1" t="s">
        <v>10</v>
      </c>
      <c r="B29" s="1" t="str">
        <f t="shared" si="1"/>
        <v>Public Administration</v>
      </c>
      <c r="C29" s="1">
        <v>11</v>
      </c>
    </row>
    <row r="30" spans="1:3" x14ac:dyDescent="0.25">
      <c r="A30" s="1" t="s">
        <v>13</v>
      </c>
      <c r="B30" s="1" t="str">
        <f t="shared" si="1"/>
        <v>Agriculture, Forestry, Fishing &amp; Hunting</v>
      </c>
      <c r="C30" s="1">
        <v>10</v>
      </c>
    </row>
    <row r="31" spans="1:3" x14ac:dyDescent="0.25">
      <c r="A31" s="1" t="s">
        <v>42</v>
      </c>
      <c r="B31" s="1" t="str">
        <f t="shared" si="1"/>
        <v>Arts, Entertainment &amp; Recreation</v>
      </c>
      <c r="C31" s="1">
        <v>9</v>
      </c>
    </row>
    <row r="32" spans="1:3" x14ac:dyDescent="0.25">
      <c r="A32" s="1" t="s">
        <v>22</v>
      </c>
      <c r="B32" s="1" t="str">
        <f t="shared" si="1"/>
        <v>Other Services</v>
      </c>
      <c r="C32" s="1">
        <v>8</v>
      </c>
    </row>
    <row r="33" spans="1:3" x14ac:dyDescent="0.25">
      <c r="A33" s="1" t="s">
        <v>14</v>
      </c>
      <c r="B33" s="1" t="str">
        <f t="shared" si="1"/>
        <v>Real Estate, Rental &amp; Leasing</v>
      </c>
      <c r="C33" s="1">
        <v>7</v>
      </c>
    </row>
    <row r="34" spans="1:3" x14ac:dyDescent="0.25">
      <c r="A34" s="1" t="s">
        <v>3</v>
      </c>
      <c r="B34" s="1" t="str">
        <f t="shared" si="1"/>
        <v>Utilities</v>
      </c>
      <c r="C34" s="1">
        <v>6</v>
      </c>
    </row>
    <row r="35" spans="1:3" x14ac:dyDescent="0.25">
      <c r="A35" s="1" t="s">
        <v>11</v>
      </c>
      <c r="B35" s="1" t="str">
        <f t="shared" si="1"/>
        <v>Finance &amp; Insurance</v>
      </c>
      <c r="C35" s="1">
        <v>5</v>
      </c>
    </row>
    <row r="36" spans="1:3" x14ac:dyDescent="0.25">
      <c r="A36" s="1" t="s">
        <v>32</v>
      </c>
      <c r="B36" s="1" t="str">
        <f t="shared" si="1"/>
        <v>Professional, Scientific &amp; Technical Services</v>
      </c>
      <c r="C36" s="1">
        <v>4</v>
      </c>
    </row>
    <row r="37" spans="1:3" x14ac:dyDescent="0.25">
      <c r="A37" s="1" t="s">
        <v>4</v>
      </c>
      <c r="B37" s="1" t="str">
        <f t="shared" si="1"/>
        <v>Accommodation &amp; Food Services</v>
      </c>
      <c r="C37" s="1">
        <v>3</v>
      </c>
    </row>
    <row r="38" spans="1:3" x14ac:dyDescent="0.25">
      <c r="A38" s="1" t="s">
        <v>17</v>
      </c>
      <c r="B38" s="1" t="str">
        <f t="shared" si="1"/>
        <v>Information</v>
      </c>
      <c r="C38" s="1">
        <v>2</v>
      </c>
    </row>
    <row r="39" spans="1:3" x14ac:dyDescent="0.25">
      <c r="A39" s="1" t="s">
        <v>27</v>
      </c>
      <c r="B39" s="1" t="str">
        <f t="shared" si="1"/>
        <v>Educational Services</v>
      </c>
      <c r="C39" s="1">
        <v>1</v>
      </c>
    </row>
    <row r="41" spans="1:3" x14ac:dyDescent="0.25">
      <c r="A41" s="39" t="s">
        <v>21</v>
      </c>
      <c r="B41" s="39"/>
      <c r="C41" s="39"/>
    </row>
    <row r="42" spans="1:3" x14ac:dyDescent="0.25">
      <c r="A42" s="1" t="s">
        <v>1</v>
      </c>
      <c r="B42" s="1" t="str">
        <f t="shared" ref="B42:B56" si="2">TRIM(A42)</f>
        <v>Arts, Entertainment &amp; Recreation</v>
      </c>
      <c r="C42" s="1">
        <v>11</v>
      </c>
    </row>
    <row r="43" spans="1:3" x14ac:dyDescent="0.25">
      <c r="A43" s="1" t="s">
        <v>8</v>
      </c>
      <c r="B43" s="1" t="str">
        <f t="shared" si="2"/>
        <v>Retail Trade</v>
      </c>
      <c r="C43" s="1">
        <v>10</v>
      </c>
    </row>
    <row r="44" spans="1:3" x14ac:dyDescent="0.25">
      <c r="A44" s="1" t="s">
        <v>33</v>
      </c>
      <c r="B44" s="1" t="str">
        <f t="shared" si="2"/>
        <v>Mining</v>
      </c>
      <c r="C44" s="1">
        <v>9</v>
      </c>
    </row>
    <row r="45" spans="1:3" x14ac:dyDescent="0.25">
      <c r="A45" s="1" t="s">
        <v>13</v>
      </c>
      <c r="B45" s="1" t="str">
        <f t="shared" si="2"/>
        <v>Agriculture, Forestry, Fishing &amp; Hunting</v>
      </c>
      <c r="C45" s="1">
        <v>8</v>
      </c>
    </row>
    <row r="46" spans="1:3" x14ac:dyDescent="0.25">
      <c r="A46" s="1" t="s">
        <v>14</v>
      </c>
      <c r="B46" s="1" t="str">
        <f t="shared" si="2"/>
        <v>Real Estate, Rental &amp; Leasing</v>
      </c>
      <c r="C46" s="1">
        <v>7</v>
      </c>
    </row>
    <row r="47" spans="1:3" x14ac:dyDescent="0.25">
      <c r="A47" s="1" t="s">
        <v>5</v>
      </c>
      <c r="B47" s="1" t="str">
        <f t="shared" si="2"/>
        <v>Transportation &amp; Warehousing</v>
      </c>
      <c r="C47" s="1">
        <v>6</v>
      </c>
    </row>
    <row r="48" spans="1:3" x14ac:dyDescent="0.25">
      <c r="A48" s="1" t="s">
        <v>6</v>
      </c>
      <c r="B48" s="1" t="str">
        <f t="shared" si="2"/>
        <v>Wholesale Trade</v>
      </c>
      <c r="C48" s="1">
        <v>5</v>
      </c>
    </row>
    <row r="49" spans="1:3" x14ac:dyDescent="0.25">
      <c r="A49" s="1" t="s">
        <v>3</v>
      </c>
      <c r="B49" s="1" t="str">
        <f t="shared" si="2"/>
        <v>Utilities</v>
      </c>
      <c r="C49" s="1">
        <v>4</v>
      </c>
    </row>
    <row r="50" spans="1:3" x14ac:dyDescent="0.25">
      <c r="A50" s="1" t="s">
        <v>11</v>
      </c>
      <c r="B50" s="1" t="str">
        <f t="shared" si="2"/>
        <v>Finance &amp; Insurance</v>
      </c>
      <c r="C50" s="1">
        <v>3</v>
      </c>
    </row>
    <row r="51" spans="1:3" x14ac:dyDescent="0.25">
      <c r="A51" s="1" t="s">
        <v>12</v>
      </c>
      <c r="B51" s="1" t="str">
        <f t="shared" si="2"/>
        <v>Educational Services</v>
      </c>
      <c r="C51" s="1">
        <v>2</v>
      </c>
    </row>
    <row r="52" spans="1:3" x14ac:dyDescent="0.25">
      <c r="A52" s="1" t="s">
        <v>15</v>
      </c>
      <c r="B52" s="1" t="str">
        <f t="shared" si="2"/>
        <v>Professional, Scientific &amp; Technical Services</v>
      </c>
      <c r="C52" s="1">
        <v>1</v>
      </c>
    </row>
    <row r="53" spans="1:3" x14ac:dyDescent="0.25">
      <c r="A53" s="1" t="s">
        <v>41</v>
      </c>
      <c r="B53" s="1" t="str">
        <f t="shared" si="2"/>
        <v>Management of Companies &amp; Support Services</v>
      </c>
      <c r="C53" s="1">
        <v>-4</v>
      </c>
    </row>
    <row r="54" spans="1:3" x14ac:dyDescent="0.25">
      <c r="A54" s="1" t="s">
        <v>4</v>
      </c>
      <c r="B54" s="1" t="str">
        <f t="shared" si="2"/>
        <v>Accommodation &amp; Food Services</v>
      </c>
      <c r="C54" s="1">
        <v>-3</v>
      </c>
    </row>
    <row r="55" spans="1:3" x14ac:dyDescent="0.25">
      <c r="A55" s="1" t="s">
        <v>2</v>
      </c>
      <c r="B55" s="1" t="str">
        <f t="shared" si="2"/>
        <v>Health Care &amp; Social Assistance</v>
      </c>
      <c r="C55" s="1">
        <v>-2</v>
      </c>
    </row>
    <row r="56" spans="1:3" x14ac:dyDescent="0.25">
      <c r="A56" s="1" t="s">
        <v>20</v>
      </c>
      <c r="B56" s="1" t="str">
        <f t="shared" si="2"/>
        <v>Construction</v>
      </c>
      <c r="C56" s="1">
        <v>-1</v>
      </c>
    </row>
    <row r="58" spans="1:3" x14ac:dyDescent="0.25">
      <c r="A58" s="39" t="s">
        <v>24</v>
      </c>
      <c r="B58" s="39"/>
      <c r="C58" s="39"/>
    </row>
    <row r="59" spans="1:3" x14ac:dyDescent="0.25">
      <c r="A59" s="1" t="s">
        <v>14</v>
      </c>
      <c r="B59" s="1" t="str">
        <f t="shared" ref="B59:B75" si="3">TRIM(A59)</f>
        <v>Real Estate, Rental &amp; Leasing</v>
      </c>
      <c r="C59" s="1">
        <v>-17</v>
      </c>
    </row>
    <row r="60" spans="1:3" x14ac:dyDescent="0.25">
      <c r="A60" s="1" t="s">
        <v>4</v>
      </c>
      <c r="B60" s="1" t="str">
        <f t="shared" si="3"/>
        <v>Accommodation &amp; Food Services</v>
      </c>
      <c r="C60" s="1">
        <v>-16</v>
      </c>
    </row>
    <row r="61" spans="1:3" x14ac:dyDescent="0.25">
      <c r="A61" s="1" t="s">
        <v>13</v>
      </c>
      <c r="B61" s="1" t="str">
        <f t="shared" si="3"/>
        <v>Agriculture, Forestry, Fishing &amp; Hunting</v>
      </c>
      <c r="C61" s="1">
        <v>-15</v>
      </c>
    </row>
    <row r="62" spans="1:3" x14ac:dyDescent="0.25">
      <c r="A62" s="1" t="s">
        <v>7</v>
      </c>
      <c r="B62" s="1" t="str">
        <f t="shared" si="3"/>
        <v>Construction</v>
      </c>
      <c r="C62" s="1">
        <v>-14</v>
      </c>
    </row>
    <row r="63" spans="1:3" x14ac:dyDescent="0.25">
      <c r="A63" s="1" t="s">
        <v>3</v>
      </c>
      <c r="B63" s="1" t="str">
        <f t="shared" si="3"/>
        <v>Utilities</v>
      </c>
      <c r="C63" s="1">
        <v>-13</v>
      </c>
    </row>
    <row r="64" spans="1:3" x14ac:dyDescent="0.25">
      <c r="A64" s="1" t="s">
        <v>10</v>
      </c>
      <c r="B64" s="1" t="str">
        <f t="shared" si="3"/>
        <v>Public Administration</v>
      </c>
      <c r="C64" s="1">
        <v>-12</v>
      </c>
    </row>
    <row r="65" spans="1:3" x14ac:dyDescent="0.25">
      <c r="A65" s="1" t="s">
        <v>2</v>
      </c>
      <c r="B65" s="1" t="str">
        <f t="shared" si="3"/>
        <v>Health Care &amp; Social Assistance</v>
      </c>
      <c r="C65" s="1">
        <v>-11</v>
      </c>
    </row>
    <row r="66" spans="1:3" x14ac:dyDescent="0.25">
      <c r="A66" s="1" t="s">
        <v>9</v>
      </c>
      <c r="B66" s="1" t="str">
        <f t="shared" si="3"/>
        <v>Management of Companies &amp; Support Services</v>
      </c>
      <c r="C66" s="1">
        <v>-10</v>
      </c>
    </row>
    <row r="67" spans="1:3" x14ac:dyDescent="0.25">
      <c r="A67" s="1" t="s">
        <v>12</v>
      </c>
      <c r="B67" s="1" t="str">
        <f t="shared" si="3"/>
        <v>Educational Services</v>
      </c>
      <c r="C67" s="1">
        <v>-9</v>
      </c>
    </row>
    <row r="68" spans="1:3" x14ac:dyDescent="0.25">
      <c r="A68" s="1" t="s">
        <v>5</v>
      </c>
      <c r="B68" s="1" t="str">
        <f t="shared" si="3"/>
        <v>Transportation &amp; Warehousing</v>
      </c>
      <c r="C68" s="1">
        <v>-8</v>
      </c>
    </row>
    <row r="69" spans="1:3" x14ac:dyDescent="0.25">
      <c r="A69" s="1" t="s">
        <v>8</v>
      </c>
      <c r="B69" s="1" t="str">
        <f t="shared" si="3"/>
        <v>Retail Trade</v>
      </c>
      <c r="C69" s="1">
        <v>-7</v>
      </c>
    </row>
    <row r="70" spans="1:3" x14ac:dyDescent="0.25">
      <c r="A70" s="1" t="s">
        <v>33</v>
      </c>
      <c r="B70" s="1" t="str">
        <f t="shared" si="3"/>
        <v>Mining</v>
      </c>
      <c r="C70" s="1">
        <v>-6</v>
      </c>
    </row>
    <row r="71" spans="1:3" x14ac:dyDescent="0.25">
      <c r="A71" s="1" t="s">
        <v>6</v>
      </c>
      <c r="B71" s="1" t="str">
        <f t="shared" si="3"/>
        <v>Wholesale Trade</v>
      </c>
      <c r="C71" s="1">
        <v>-5</v>
      </c>
    </row>
    <row r="72" spans="1:3" x14ac:dyDescent="0.25">
      <c r="A72" s="1" t="s">
        <v>17</v>
      </c>
      <c r="B72" s="1" t="str">
        <f t="shared" si="3"/>
        <v>Information</v>
      </c>
      <c r="C72" s="1">
        <v>-4</v>
      </c>
    </row>
    <row r="73" spans="1:3" x14ac:dyDescent="0.25">
      <c r="A73" s="1" t="s">
        <v>32</v>
      </c>
      <c r="B73" s="1" t="str">
        <f t="shared" si="3"/>
        <v>Professional, Scientific &amp; Technical Services</v>
      </c>
      <c r="C73" s="1">
        <v>-3</v>
      </c>
    </row>
    <row r="74" spans="1:3" x14ac:dyDescent="0.25">
      <c r="A74" s="1" t="s">
        <v>22</v>
      </c>
      <c r="B74" s="1" t="str">
        <f t="shared" si="3"/>
        <v>Other Services</v>
      </c>
      <c r="C74" s="1">
        <v>-2</v>
      </c>
    </row>
    <row r="75" spans="1:3" x14ac:dyDescent="0.25">
      <c r="A75" s="1" t="s">
        <v>23</v>
      </c>
      <c r="B75" s="1" t="str">
        <f t="shared" si="3"/>
        <v>Finance &amp; Insurance</v>
      </c>
      <c r="C75" s="1">
        <v>-1</v>
      </c>
    </row>
    <row r="77" spans="1:3" x14ac:dyDescent="0.25">
      <c r="A77" s="39" t="s">
        <v>26</v>
      </c>
      <c r="B77" s="39"/>
      <c r="C77" s="39"/>
    </row>
    <row r="78" spans="1:3" x14ac:dyDescent="0.25">
      <c r="A78" s="1" t="s">
        <v>1</v>
      </c>
      <c r="B78" s="1" t="str">
        <f t="shared" ref="B78:B93" si="4">TRIM(A78)</f>
        <v>Arts, Entertainment &amp; Recreation</v>
      </c>
      <c r="C78" s="1">
        <v>7</v>
      </c>
    </row>
    <row r="79" spans="1:3" x14ac:dyDescent="0.25">
      <c r="A79" s="1" t="s">
        <v>11</v>
      </c>
      <c r="B79" s="1" t="str">
        <f t="shared" si="4"/>
        <v>Finance &amp; Insurance</v>
      </c>
      <c r="C79" s="1">
        <v>6</v>
      </c>
    </row>
    <row r="80" spans="1:3" x14ac:dyDescent="0.25">
      <c r="A80" s="1" t="s">
        <v>4</v>
      </c>
      <c r="B80" s="1" t="str">
        <f t="shared" si="4"/>
        <v>Accommodation &amp; Food Services</v>
      </c>
      <c r="C80" s="1">
        <v>5</v>
      </c>
    </row>
    <row r="81" spans="1:3" x14ac:dyDescent="0.25">
      <c r="A81" s="1" t="s">
        <v>10</v>
      </c>
      <c r="B81" s="1" t="str">
        <f t="shared" si="4"/>
        <v>Public Administration</v>
      </c>
      <c r="C81" s="1">
        <v>4</v>
      </c>
    </row>
    <row r="82" spans="1:3" x14ac:dyDescent="0.25">
      <c r="A82" s="1" t="s">
        <v>7</v>
      </c>
      <c r="B82" s="1" t="str">
        <f t="shared" si="4"/>
        <v>Construction</v>
      </c>
      <c r="C82" s="1">
        <v>3</v>
      </c>
    </row>
    <row r="83" spans="1:3" x14ac:dyDescent="0.25">
      <c r="A83" s="1" t="s">
        <v>2</v>
      </c>
      <c r="B83" s="1" t="str">
        <f t="shared" si="4"/>
        <v>Health Care &amp; Social Assistance</v>
      </c>
      <c r="C83" s="1">
        <v>2</v>
      </c>
    </row>
    <row r="84" spans="1:3" x14ac:dyDescent="0.25">
      <c r="A84" s="1" t="s">
        <v>40</v>
      </c>
      <c r="B84" s="1" t="str">
        <f t="shared" si="4"/>
        <v>Utilities</v>
      </c>
      <c r="C84" s="1">
        <v>1</v>
      </c>
    </row>
    <row r="85" spans="1:3" x14ac:dyDescent="0.25">
      <c r="A85" s="1" t="s">
        <v>29</v>
      </c>
      <c r="B85" s="1" t="str">
        <f t="shared" si="4"/>
        <v>Real Estate, Rental &amp; Leasing</v>
      </c>
      <c r="C85" s="1">
        <v>-9</v>
      </c>
    </row>
    <row r="86" spans="1:3" x14ac:dyDescent="0.25">
      <c r="A86" s="1" t="s">
        <v>33</v>
      </c>
      <c r="B86" s="1" t="str">
        <f t="shared" si="4"/>
        <v>Mining</v>
      </c>
      <c r="C86" s="1">
        <v>-8</v>
      </c>
    </row>
    <row r="87" spans="1:3" x14ac:dyDescent="0.25">
      <c r="A87" s="1" t="s">
        <v>13</v>
      </c>
      <c r="B87" s="1" t="str">
        <f t="shared" si="4"/>
        <v>Agriculture, Forestry, Fishing &amp; Hunting</v>
      </c>
      <c r="C87" s="1">
        <v>-7</v>
      </c>
    </row>
    <row r="88" spans="1:3" x14ac:dyDescent="0.25">
      <c r="A88" s="1" t="s">
        <v>32</v>
      </c>
      <c r="B88" s="1" t="str">
        <f t="shared" si="4"/>
        <v>Professional, Scientific &amp; Technical Services</v>
      </c>
      <c r="C88" s="1">
        <v>-6</v>
      </c>
    </row>
    <row r="89" spans="1:3" x14ac:dyDescent="0.25">
      <c r="A89" s="1" t="s">
        <v>8</v>
      </c>
      <c r="B89" s="1" t="str">
        <f t="shared" si="4"/>
        <v>Retail Trade</v>
      </c>
      <c r="C89" s="1">
        <v>-5</v>
      </c>
    </row>
    <row r="90" spans="1:3" x14ac:dyDescent="0.25">
      <c r="A90" s="1" t="s">
        <v>5</v>
      </c>
      <c r="B90" s="1" t="str">
        <f t="shared" si="4"/>
        <v>Transportation &amp; Warehousing</v>
      </c>
      <c r="C90" s="1">
        <v>-4</v>
      </c>
    </row>
    <row r="91" spans="1:3" x14ac:dyDescent="0.25">
      <c r="A91" s="1" t="s">
        <v>12</v>
      </c>
      <c r="B91" s="1" t="str">
        <f t="shared" si="4"/>
        <v>Educational Services</v>
      </c>
      <c r="C91" s="1">
        <v>-3</v>
      </c>
    </row>
    <row r="92" spans="1:3" x14ac:dyDescent="0.25">
      <c r="A92" s="1" t="s">
        <v>17</v>
      </c>
      <c r="B92" s="1" t="str">
        <f t="shared" si="4"/>
        <v>Information</v>
      </c>
      <c r="C92" s="1">
        <v>-2</v>
      </c>
    </row>
    <row r="93" spans="1:3" x14ac:dyDescent="0.25">
      <c r="A93" s="1" t="s">
        <v>36</v>
      </c>
      <c r="B93" s="1" t="str">
        <f t="shared" si="4"/>
        <v>Wholesale Trade</v>
      </c>
      <c r="C93" s="1">
        <v>-1</v>
      </c>
    </row>
    <row r="95" spans="1:3" x14ac:dyDescent="0.25">
      <c r="A95" s="39" t="s">
        <v>30</v>
      </c>
      <c r="B95" s="39"/>
      <c r="C95" s="39"/>
    </row>
    <row r="96" spans="1:3" x14ac:dyDescent="0.25">
      <c r="A96" s="1" t="s">
        <v>16</v>
      </c>
      <c r="B96" s="1" t="str">
        <f t="shared" ref="B96:B113" si="5">TRIM(A96)</f>
        <v>Mining</v>
      </c>
      <c r="C96" s="1">
        <v>18</v>
      </c>
    </row>
    <row r="97" spans="1:3" x14ac:dyDescent="0.25">
      <c r="A97" s="1" t="s">
        <v>5</v>
      </c>
      <c r="B97" s="1" t="str">
        <f t="shared" si="5"/>
        <v>Transportation &amp; Warehousing</v>
      </c>
      <c r="C97" s="1">
        <v>17</v>
      </c>
    </row>
    <row r="98" spans="1:3" x14ac:dyDescent="0.25">
      <c r="A98" s="1" t="s">
        <v>4</v>
      </c>
      <c r="B98" s="1" t="str">
        <f t="shared" si="5"/>
        <v>Accommodation &amp; Food Services</v>
      </c>
      <c r="C98" s="1">
        <v>16</v>
      </c>
    </row>
    <row r="99" spans="1:3" x14ac:dyDescent="0.25">
      <c r="A99" s="1" t="s">
        <v>3</v>
      </c>
      <c r="B99" s="1" t="str">
        <f t="shared" si="5"/>
        <v>Utilities</v>
      </c>
      <c r="C99" s="1">
        <v>15</v>
      </c>
    </row>
    <row r="100" spans="1:3" x14ac:dyDescent="0.25">
      <c r="A100" s="1" t="s">
        <v>9</v>
      </c>
      <c r="B100" s="1" t="str">
        <f t="shared" si="5"/>
        <v>Management of Companies &amp; Support Services</v>
      </c>
      <c r="C100" s="1">
        <v>14</v>
      </c>
    </row>
    <row r="101" spans="1:3" x14ac:dyDescent="0.25">
      <c r="A101" s="1" t="s">
        <v>7</v>
      </c>
      <c r="B101" s="1" t="str">
        <f t="shared" si="5"/>
        <v>Construction</v>
      </c>
      <c r="C101" s="1">
        <v>13</v>
      </c>
    </row>
    <row r="102" spans="1:3" x14ac:dyDescent="0.25">
      <c r="A102" s="1" t="s">
        <v>10</v>
      </c>
      <c r="B102" s="1" t="str">
        <f t="shared" si="5"/>
        <v>Public Administration</v>
      </c>
      <c r="C102" s="1">
        <v>12</v>
      </c>
    </row>
    <row r="103" spans="1:3" x14ac:dyDescent="0.25">
      <c r="A103" s="1" t="s">
        <v>42</v>
      </c>
      <c r="B103" s="1" t="str">
        <f t="shared" si="5"/>
        <v>Arts, Entertainment &amp; Recreation</v>
      </c>
      <c r="C103" s="1">
        <v>11</v>
      </c>
    </row>
    <row r="104" spans="1:3" x14ac:dyDescent="0.25">
      <c r="A104" s="1" t="s">
        <v>14</v>
      </c>
      <c r="B104" s="1" t="str">
        <f t="shared" si="5"/>
        <v>Real Estate, Rental &amp; Leasing</v>
      </c>
      <c r="C104" s="1">
        <v>10</v>
      </c>
    </row>
    <row r="105" spans="1:3" x14ac:dyDescent="0.25">
      <c r="A105" s="1" t="s">
        <v>6</v>
      </c>
      <c r="B105" s="1" t="str">
        <f t="shared" si="5"/>
        <v>Wholesale Trade</v>
      </c>
      <c r="C105" s="1">
        <v>9</v>
      </c>
    </row>
    <row r="106" spans="1:3" x14ac:dyDescent="0.25">
      <c r="A106" s="1" t="s">
        <v>12</v>
      </c>
      <c r="B106" s="1" t="str">
        <f t="shared" si="5"/>
        <v>Educational Services</v>
      </c>
      <c r="C106" s="1">
        <v>8</v>
      </c>
    </row>
    <row r="107" spans="1:3" x14ac:dyDescent="0.25">
      <c r="A107" s="1" t="s">
        <v>8</v>
      </c>
      <c r="B107" s="1" t="str">
        <f t="shared" si="5"/>
        <v>Retail Trade</v>
      </c>
      <c r="C107" s="1">
        <v>7</v>
      </c>
    </row>
    <row r="108" spans="1:3" x14ac:dyDescent="0.25">
      <c r="A108" s="1" t="s">
        <v>2</v>
      </c>
      <c r="B108" s="1" t="str">
        <f t="shared" si="5"/>
        <v>Health Care &amp; Social Assistance</v>
      </c>
      <c r="C108" s="1">
        <v>6</v>
      </c>
    </row>
    <row r="109" spans="1:3" x14ac:dyDescent="0.25">
      <c r="A109" s="1" t="s">
        <v>17</v>
      </c>
      <c r="B109" s="1" t="str">
        <f t="shared" si="5"/>
        <v>Information</v>
      </c>
      <c r="C109" s="1">
        <v>5</v>
      </c>
    </row>
    <row r="110" spans="1:3" x14ac:dyDescent="0.25">
      <c r="A110" s="1" t="s">
        <v>11</v>
      </c>
      <c r="B110" s="1" t="str">
        <f t="shared" si="5"/>
        <v>Finance &amp; Insurance</v>
      </c>
      <c r="C110" s="1">
        <v>4</v>
      </c>
    </row>
    <row r="111" spans="1:3" x14ac:dyDescent="0.25">
      <c r="A111" s="1" t="s">
        <v>32</v>
      </c>
      <c r="B111" s="1" t="str">
        <f t="shared" si="5"/>
        <v>Professional, Scientific &amp; Technical Services</v>
      </c>
      <c r="C111" s="1">
        <v>3</v>
      </c>
    </row>
    <row r="112" spans="1:3" x14ac:dyDescent="0.25">
      <c r="A112" s="1" t="s">
        <v>13</v>
      </c>
      <c r="B112" s="1" t="str">
        <f t="shared" si="5"/>
        <v>Agriculture, Forestry, Fishing &amp; Hunting</v>
      </c>
      <c r="C112" s="1">
        <v>2</v>
      </c>
    </row>
    <row r="113" spans="1:3" x14ac:dyDescent="0.25">
      <c r="A113" s="1" t="s">
        <v>18</v>
      </c>
      <c r="B113" s="1" t="str">
        <f t="shared" si="5"/>
        <v>Other Services</v>
      </c>
      <c r="C113" s="1">
        <v>1</v>
      </c>
    </row>
    <row r="115" spans="1:3" x14ac:dyDescent="0.25">
      <c r="A115" s="39" t="s">
        <v>3818</v>
      </c>
      <c r="B115" s="39"/>
      <c r="C115" s="39"/>
    </row>
    <row r="116" spans="1:3" x14ac:dyDescent="0.25">
      <c r="A116" s="2" t="s">
        <v>41</v>
      </c>
      <c r="B116" s="1" t="str">
        <f t="shared" ref="B116:B131" si="6">TRIM(A116)</f>
        <v>Management of Companies &amp; Support Services</v>
      </c>
      <c r="C116" s="2">
        <v>16</v>
      </c>
    </row>
    <row r="117" spans="1:3" x14ac:dyDescent="0.25">
      <c r="A117" s="2" t="s">
        <v>8</v>
      </c>
      <c r="B117" s="1" t="str">
        <f t="shared" si="6"/>
        <v>Retail Trade</v>
      </c>
      <c r="C117" s="2">
        <v>15</v>
      </c>
    </row>
    <row r="118" spans="1:3" x14ac:dyDescent="0.25">
      <c r="A118" s="2" t="s">
        <v>14</v>
      </c>
      <c r="B118" s="1" t="str">
        <f t="shared" si="6"/>
        <v>Real Estate, Rental &amp; Leasing</v>
      </c>
      <c r="C118" s="2">
        <v>14</v>
      </c>
    </row>
    <row r="119" spans="1:3" x14ac:dyDescent="0.25">
      <c r="A119" s="2" t="s">
        <v>5</v>
      </c>
      <c r="B119" s="1" t="str">
        <f t="shared" si="6"/>
        <v>Transportation &amp; Warehousing</v>
      </c>
      <c r="C119" s="2">
        <v>13</v>
      </c>
    </row>
    <row r="120" spans="1:3" x14ac:dyDescent="0.25">
      <c r="A120" s="2" t="s">
        <v>6</v>
      </c>
      <c r="B120" s="1" t="str">
        <f t="shared" si="6"/>
        <v>Wholesale Trade</v>
      </c>
      <c r="C120" s="2">
        <v>12</v>
      </c>
    </row>
    <row r="121" spans="1:3" x14ac:dyDescent="0.25">
      <c r="A121" s="2" t="s">
        <v>2</v>
      </c>
      <c r="B121" s="1" t="str">
        <f t="shared" si="6"/>
        <v>Health Care &amp; Social Assistance</v>
      </c>
      <c r="C121" s="2">
        <v>11</v>
      </c>
    </row>
    <row r="122" spans="1:3" x14ac:dyDescent="0.25">
      <c r="A122" s="2" t="s">
        <v>3</v>
      </c>
      <c r="B122" s="1" t="str">
        <f t="shared" si="6"/>
        <v>Utilities</v>
      </c>
      <c r="C122" s="2">
        <v>10</v>
      </c>
    </row>
    <row r="123" spans="1:3" x14ac:dyDescent="0.25">
      <c r="A123" s="2" t="s">
        <v>10</v>
      </c>
      <c r="B123" s="1" t="str">
        <f t="shared" si="6"/>
        <v>Public Administration</v>
      </c>
      <c r="C123" s="2">
        <v>9</v>
      </c>
    </row>
    <row r="124" spans="1:3" x14ac:dyDescent="0.25">
      <c r="A124" s="2" t="s">
        <v>13</v>
      </c>
      <c r="B124" s="1" t="str">
        <f t="shared" si="6"/>
        <v>Agriculture, Forestry, Fishing &amp; Hunting</v>
      </c>
      <c r="C124" s="2">
        <v>8</v>
      </c>
    </row>
    <row r="125" spans="1:3" x14ac:dyDescent="0.25">
      <c r="A125" s="2" t="s">
        <v>22</v>
      </c>
      <c r="B125" s="1" t="str">
        <f t="shared" si="6"/>
        <v>Other Services</v>
      </c>
      <c r="C125" s="2">
        <v>7</v>
      </c>
    </row>
    <row r="126" spans="1:3" x14ac:dyDescent="0.25">
      <c r="A126" s="2" t="s">
        <v>7</v>
      </c>
      <c r="B126" s="1" t="str">
        <f t="shared" si="6"/>
        <v>Construction</v>
      </c>
      <c r="C126" s="2">
        <v>6</v>
      </c>
    </row>
    <row r="127" spans="1:3" x14ac:dyDescent="0.25">
      <c r="A127" s="2" t="s">
        <v>11</v>
      </c>
      <c r="B127" s="1" t="str">
        <f t="shared" si="6"/>
        <v>Finance &amp; Insurance</v>
      </c>
      <c r="C127" s="2">
        <v>5</v>
      </c>
    </row>
    <row r="128" spans="1:3" x14ac:dyDescent="0.25">
      <c r="A128" s="2" t="s">
        <v>17</v>
      </c>
      <c r="B128" s="1" t="str">
        <f t="shared" si="6"/>
        <v>Information</v>
      </c>
      <c r="C128" s="2">
        <v>4</v>
      </c>
    </row>
    <row r="129" spans="1:3" x14ac:dyDescent="0.25">
      <c r="A129" s="2" t="s">
        <v>33</v>
      </c>
      <c r="B129" s="1" t="str">
        <f t="shared" si="6"/>
        <v>Mining</v>
      </c>
      <c r="C129" s="2">
        <v>3</v>
      </c>
    </row>
    <row r="130" spans="1:3" x14ac:dyDescent="0.25">
      <c r="A130" s="2" t="s">
        <v>32</v>
      </c>
      <c r="B130" s="1" t="str">
        <f t="shared" si="6"/>
        <v>Professional, Scientific &amp; Technical Services</v>
      </c>
      <c r="C130" s="2">
        <v>2</v>
      </c>
    </row>
    <row r="131" spans="1:3" x14ac:dyDescent="0.25">
      <c r="A131" s="2" t="s">
        <v>27</v>
      </c>
      <c r="B131" s="1" t="str">
        <f t="shared" si="6"/>
        <v>Educational Services</v>
      </c>
      <c r="C131" s="2">
        <v>1</v>
      </c>
    </row>
  </sheetData>
  <mergeCells count="7">
    <mergeCell ref="A115:C115"/>
    <mergeCell ref="A95:C95"/>
    <mergeCell ref="A1:C1"/>
    <mergeCell ref="A21:C21"/>
    <mergeCell ref="A41:C41"/>
    <mergeCell ref="A58:C58"/>
    <mergeCell ref="A77:C77"/>
  </mergeCells>
  <pageMargins left="0.78749999999999998" right="0.78749999999999998" top="1.05277777777778" bottom="1.05277777777778" header="0.78749999999999998" footer="0.78749999999999998"/>
  <pageSetup paperSize="9" firstPageNumber="0" orientation="portrait" horizontalDpi="300" verticalDpi="300"/>
  <headerFooter>
    <oddHeader>&amp;C&amp;"Times New Roman,Regular"&amp;12&amp;A</oddHeader>
    <oddFooter>&amp;C&amp;"Times New Roman,Regular"&amp;12Page &amp;P</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767D1C-8F10-42DD-9422-7F8CFAF6B80A}">
  <dimension ref="A1:G123"/>
  <sheetViews>
    <sheetView workbookViewId="0">
      <selection activeCell="F1" sqref="F1:F1048576"/>
    </sheetView>
  </sheetViews>
  <sheetFormatPr defaultRowHeight="15" x14ac:dyDescent="0.25"/>
  <cols>
    <col min="1" max="1" width="43.85546875" bestFit="1" customWidth="1"/>
    <col min="2" max="2" width="43.42578125" bestFit="1" customWidth="1"/>
  </cols>
  <sheetData>
    <row r="1" spans="1:7" x14ac:dyDescent="0.25">
      <c r="A1" s="39" t="s">
        <v>0</v>
      </c>
      <c r="B1" s="39"/>
      <c r="C1" s="39"/>
    </row>
    <row r="2" spans="1:7" x14ac:dyDescent="0.25">
      <c r="A2" s="2" t="s">
        <v>31</v>
      </c>
      <c r="B2" s="2" t="str">
        <f>TRIM(A2)</f>
        <v>Accommodation &amp; Food Services</v>
      </c>
      <c r="C2" s="2">
        <v>16</v>
      </c>
      <c r="F2" t="s">
        <v>31</v>
      </c>
      <c r="G2" s="29" t="s">
        <v>3855</v>
      </c>
    </row>
    <row r="3" spans="1:7" x14ac:dyDescent="0.25">
      <c r="A3" s="2" t="s">
        <v>6</v>
      </c>
      <c r="B3" s="2" t="str">
        <f t="shared" ref="B3:B18" si="0">TRIM(A3)</f>
        <v>Wholesale Trade</v>
      </c>
      <c r="C3" s="2">
        <v>15</v>
      </c>
      <c r="F3" t="s">
        <v>35</v>
      </c>
      <c r="G3" s="29" t="s">
        <v>3856</v>
      </c>
    </row>
    <row r="4" spans="1:7" x14ac:dyDescent="0.25">
      <c r="A4" s="2" t="s">
        <v>7</v>
      </c>
      <c r="B4" s="2" t="str">
        <f t="shared" si="0"/>
        <v>Construction</v>
      </c>
      <c r="C4" s="2">
        <v>14</v>
      </c>
      <c r="F4" t="s">
        <v>20</v>
      </c>
      <c r="G4" s="29" t="s">
        <v>3857</v>
      </c>
    </row>
    <row r="5" spans="1:7" x14ac:dyDescent="0.25">
      <c r="A5" s="2" t="s">
        <v>5</v>
      </c>
      <c r="B5" s="2" t="str">
        <f t="shared" si="0"/>
        <v>Transportation &amp; Warehousing</v>
      </c>
      <c r="C5" s="2">
        <v>13</v>
      </c>
      <c r="F5" t="s">
        <v>23</v>
      </c>
      <c r="G5" s="29" t="s">
        <v>3858</v>
      </c>
    </row>
    <row r="6" spans="1:7" x14ac:dyDescent="0.25">
      <c r="A6" s="2" t="s">
        <v>9</v>
      </c>
      <c r="B6" s="2" t="str">
        <f t="shared" si="0"/>
        <v>Management of Companies &amp; Support Services</v>
      </c>
      <c r="C6" s="2">
        <v>12</v>
      </c>
      <c r="F6" t="s">
        <v>43</v>
      </c>
      <c r="G6" s="29" t="s">
        <v>3859</v>
      </c>
    </row>
    <row r="7" spans="1:7" x14ac:dyDescent="0.25">
      <c r="A7" s="2" t="s">
        <v>8</v>
      </c>
      <c r="B7" s="2" t="str">
        <f t="shared" si="0"/>
        <v>Retail Trade</v>
      </c>
      <c r="C7" s="2">
        <v>11</v>
      </c>
      <c r="F7" t="s">
        <v>28</v>
      </c>
      <c r="G7" s="29" t="s">
        <v>3860</v>
      </c>
    </row>
    <row r="8" spans="1:7" x14ac:dyDescent="0.25">
      <c r="A8" s="2" t="s">
        <v>22</v>
      </c>
      <c r="B8" s="2" t="str">
        <f t="shared" si="0"/>
        <v>Other Services</v>
      </c>
      <c r="C8" s="2">
        <v>10</v>
      </c>
      <c r="F8" t="s">
        <v>18</v>
      </c>
      <c r="G8" s="29" t="s">
        <v>3861</v>
      </c>
    </row>
    <row r="9" spans="1:7" x14ac:dyDescent="0.25">
      <c r="A9" s="2" t="s">
        <v>2</v>
      </c>
      <c r="B9" s="2" t="str">
        <f t="shared" si="0"/>
        <v>Health Care &amp; Social Assistance</v>
      </c>
      <c r="C9" s="2">
        <v>9</v>
      </c>
      <c r="F9" t="s">
        <v>15</v>
      </c>
      <c r="G9" s="29" t="s">
        <v>3862</v>
      </c>
    </row>
    <row r="10" spans="1:7" x14ac:dyDescent="0.25">
      <c r="A10" s="2" t="s">
        <v>42</v>
      </c>
      <c r="B10" s="2" t="str">
        <f t="shared" si="0"/>
        <v>Arts, Entertainment &amp; Recreation</v>
      </c>
      <c r="C10" s="2">
        <v>8</v>
      </c>
      <c r="F10" t="s">
        <v>25</v>
      </c>
      <c r="G10" s="29" t="s">
        <v>3863</v>
      </c>
    </row>
    <row r="11" spans="1:7" x14ac:dyDescent="0.25">
      <c r="A11" s="2" t="s">
        <v>3</v>
      </c>
      <c r="B11" s="2" t="str">
        <f t="shared" si="0"/>
        <v>Utilities</v>
      </c>
      <c r="C11" s="2">
        <v>7</v>
      </c>
      <c r="F11" t="s">
        <v>40</v>
      </c>
      <c r="G11" s="29" t="s">
        <v>3864</v>
      </c>
    </row>
    <row r="12" spans="1:7" x14ac:dyDescent="0.25">
      <c r="A12" s="2" t="s">
        <v>32</v>
      </c>
      <c r="B12" s="2" t="str">
        <f t="shared" si="0"/>
        <v>Professional, Scientific &amp; Technical Services</v>
      </c>
      <c r="C12" s="2">
        <v>6</v>
      </c>
      <c r="F12" t="s">
        <v>36</v>
      </c>
      <c r="G12" s="29" t="s">
        <v>3865</v>
      </c>
    </row>
    <row r="13" spans="1:7" x14ac:dyDescent="0.25">
      <c r="A13" s="2" t="s">
        <v>10</v>
      </c>
      <c r="B13" s="2" t="str">
        <f t="shared" si="0"/>
        <v>Public Administration</v>
      </c>
      <c r="C13" s="2">
        <v>5</v>
      </c>
    </row>
    <row r="14" spans="1:7" x14ac:dyDescent="0.25">
      <c r="A14" s="2" t="s">
        <v>11</v>
      </c>
      <c r="B14" s="2" t="str">
        <f t="shared" si="0"/>
        <v>Finance &amp; Insurance</v>
      </c>
      <c r="C14" s="2">
        <v>4</v>
      </c>
    </row>
    <row r="15" spans="1:7" x14ac:dyDescent="0.25">
      <c r="A15" s="2" t="s">
        <v>17</v>
      </c>
      <c r="B15" s="2" t="str">
        <f t="shared" si="0"/>
        <v>Information</v>
      </c>
      <c r="C15" s="2">
        <v>3</v>
      </c>
    </row>
    <row r="16" spans="1:7" x14ac:dyDescent="0.25">
      <c r="A16" s="2" t="s">
        <v>14</v>
      </c>
      <c r="B16" s="2" t="str">
        <f t="shared" si="0"/>
        <v>Real Estate, Rental &amp; Leasing</v>
      </c>
      <c r="C16" s="2">
        <v>2</v>
      </c>
    </row>
    <row r="17" spans="1:3" x14ac:dyDescent="0.25">
      <c r="A17" s="2" t="s">
        <v>27</v>
      </c>
      <c r="B17" s="2" t="str">
        <f t="shared" si="0"/>
        <v>Educational Services</v>
      </c>
      <c r="C17" s="2">
        <v>1</v>
      </c>
    </row>
    <row r="18" spans="1:3" x14ac:dyDescent="0.25">
      <c r="A18" s="2" t="s">
        <v>16</v>
      </c>
      <c r="B18" s="2" t="str">
        <f t="shared" si="0"/>
        <v>Mining</v>
      </c>
      <c r="C18" s="2">
        <v>-1</v>
      </c>
    </row>
    <row r="20" spans="1:3" x14ac:dyDescent="0.25">
      <c r="A20" s="39" t="s">
        <v>19</v>
      </c>
      <c r="B20" s="39"/>
      <c r="C20" s="39"/>
    </row>
    <row r="21" spans="1:3" x14ac:dyDescent="0.25">
      <c r="A21" s="2" t="s">
        <v>3809</v>
      </c>
      <c r="B21" s="2" t="str">
        <f t="shared" ref="B21:B36" si="1">TRIM(A21)</f>
        <v> Construction</v>
      </c>
      <c r="C21" s="2">
        <v>13</v>
      </c>
    </row>
    <row r="22" spans="1:3" x14ac:dyDescent="0.25">
      <c r="A22" s="2" t="s">
        <v>4</v>
      </c>
      <c r="B22" s="2" t="str">
        <f t="shared" si="1"/>
        <v>Accommodation &amp; Food Services</v>
      </c>
      <c r="C22" s="2">
        <v>12</v>
      </c>
    </row>
    <row r="23" spans="1:3" x14ac:dyDescent="0.25">
      <c r="A23" s="2" t="s">
        <v>6</v>
      </c>
      <c r="B23" s="2" t="str">
        <f t="shared" si="1"/>
        <v>Wholesale Trade</v>
      </c>
      <c r="C23" s="2">
        <v>11</v>
      </c>
    </row>
    <row r="24" spans="1:3" x14ac:dyDescent="0.25">
      <c r="A24" s="2" t="s">
        <v>5</v>
      </c>
      <c r="B24" s="2" t="str">
        <f t="shared" si="1"/>
        <v>Transportation &amp; Warehousing</v>
      </c>
      <c r="C24" s="2">
        <v>10</v>
      </c>
    </row>
    <row r="25" spans="1:3" x14ac:dyDescent="0.25">
      <c r="A25" s="2" t="s">
        <v>9</v>
      </c>
      <c r="B25" s="2" t="str">
        <f t="shared" si="1"/>
        <v>Management of Companies &amp; Support Services</v>
      </c>
      <c r="C25" s="2">
        <v>9</v>
      </c>
    </row>
    <row r="26" spans="1:3" x14ac:dyDescent="0.25">
      <c r="A26" s="2" t="s">
        <v>42</v>
      </c>
      <c r="B26" s="2" t="str">
        <f t="shared" si="1"/>
        <v>Arts, Entertainment &amp; Recreation</v>
      </c>
      <c r="C26" s="2">
        <v>8</v>
      </c>
    </row>
    <row r="27" spans="1:3" x14ac:dyDescent="0.25">
      <c r="A27" s="2" t="s">
        <v>22</v>
      </c>
      <c r="B27" s="2" t="str">
        <f t="shared" si="1"/>
        <v>Other Services</v>
      </c>
      <c r="C27" s="2">
        <v>7</v>
      </c>
    </row>
    <row r="28" spans="1:3" x14ac:dyDescent="0.25">
      <c r="A28" s="2" t="s">
        <v>8</v>
      </c>
      <c r="B28" s="2" t="str">
        <f t="shared" si="1"/>
        <v>Retail Trade</v>
      </c>
      <c r="C28" s="2">
        <v>6</v>
      </c>
    </row>
    <row r="29" spans="1:3" x14ac:dyDescent="0.25">
      <c r="A29" s="2" t="s">
        <v>2</v>
      </c>
      <c r="B29" s="2" t="str">
        <f t="shared" si="1"/>
        <v>Health Care &amp; Social Assistance</v>
      </c>
      <c r="C29" s="2">
        <v>5</v>
      </c>
    </row>
    <row r="30" spans="1:3" x14ac:dyDescent="0.25">
      <c r="A30" s="2" t="s">
        <v>11</v>
      </c>
      <c r="B30" s="2" t="str">
        <f t="shared" si="1"/>
        <v>Finance &amp; Insurance</v>
      </c>
      <c r="C30" s="2">
        <v>4</v>
      </c>
    </row>
    <row r="31" spans="1:3" x14ac:dyDescent="0.25">
      <c r="A31" s="2" t="s">
        <v>32</v>
      </c>
      <c r="B31" s="2" t="str">
        <f t="shared" si="1"/>
        <v>Professional, Scientific &amp; Technical Services</v>
      </c>
      <c r="C31" s="2">
        <v>3</v>
      </c>
    </row>
    <row r="32" spans="1:3" x14ac:dyDescent="0.25">
      <c r="A32" s="2" t="s">
        <v>3</v>
      </c>
      <c r="B32" s="2" t="str">
        <f t="shared" si="1"/>
        <v>Utilities</v>
      </c>
      <c r="C32" s="2">
        <v>2</v>
      </c>
    </row>
    <row r="33" spans="1:3" x14ac:dyDescent="0.25">
      <c r="A33" s="2" t="s">
        <v>34</v>
      </c>
      <c r="B33" s="2" t="str">
        <f t="shared" si="1"/>
        <v>Public Administration</v>
      </c>
      <c r="C33" s="2">
        <v>1</v>
      </c>
    </row>
    <row r="34" spans="1:3" x14ac:dyDescent="0.25">
      <c r="A34" s="2" t="s">
        <v>16</v>
      </c>
      <c r="B34" s="2" t="str">
        <f t="shared" si="1"/>
        <v>Mining</v>
      </c>
      <c r="C34" s="2">
        <v>-3</v>
      </c>
    </row>
    <row r="35" spans="1:3" x14ac:dyDescent="0.25">
      <c r="A35" s="2" t="s">
        <v>13</v>
      </c>
      <c r="B35" s="2" t="str">
        <f t="shared" si="1"/>
        <v>Agriculture, Forestry, Fishing &amp; Hunting</v>
      </c>
      <c r="C35" s="2">
        <v>-2</v>
      </c>
    </row>
    <row r="36" spans="1:3" x14ac:dyDescent="0.25">
      <c r="A36" s="2" t="s">
        <v>27</v>
      </c>
      <c r="B36" s="2" t="str">
        <f t="shared" si="1"/>
        <v>Educational Services</v>
      </c>
      <c r="C36" s="2">
        <v>-1</v>
      </c>
    </row>
    <row r="38" spans="1:3" x14ac:dyDescent="0.25">
      <c r="A38" s="39" t="s">
        <v>21</v>
      </c>
      <c r="B38" s="39"/>
      <c r="C38" s="39"/>
    </row>
    <row r="39" spans="1:3" x14ac:dyDescent="0.25">
      <c r="A39" s="2" t="s">
        <v>3810</v>
      </c>
      <c r="B39" s="2" t="str">
        <f t="shared" ref="B39:B52" si="2">TRIM(A39)</f>
        <v> Retail Trade</v>
      </c>
      <c r="C39" s="2">
        <v>11</v>
      </c>
    </row>
    <row r="40" spans="1:3" x14ac:dyDescent="0.25">
      <c r="A40" s="2" t="s">
        <v>4</v>
      </c>
      <c r="B40" s="2" t="str">
        <f t="shared" si="2"/>
        <v>Accommodation &amp; Food Services</v>
      </c>
      <c r="C40" s="2">
        <v>10</v>
      </c>
    </row>
    <row r="41" spans="1:3" x14ac:dyDescent="0.25">
      <c r="A41" s="2" t="s">
        <v>13</v>
      </c>
      <c r="B41" s="2" t="str">
        <f t="shared" si="2"/>
        <v>Agriculture, Forestry, Fishing &amp; Hunting</v>
      </c>
      <c r="C41" s="2">
        <v>9</v>
      </c>
    </row>
    <row r="42" spans="1:3" x14ac:dyDescent="0.25">
      <c r="A42" s="2" t="s">
        <v>42</v>
      </c>
      <c r="B42" s="2" t="str">
        <f t="shared" si="2"/>
        <v>Arts, Entertainment &amp; Recreation</v>
      </c>
      <c r="C42" s="2">
        <v>8</v>
      </c>
    </row>
    <row r="43" spans="1:3" x14ac:dyDescent="0.25">
      <c r="A43" s="2" t="s">
        <v>5</v>
      </c>
      <c r="B43" s="2" t="str">
        <f t="shared" si="2"/>
        <v>Transportation &amp; Warehousing</v>
      </c>
      <c r="C43" s="2">
        <v>7</v>
      </c>
    </row>
    <row r="44" spans="1:3" x14ac:dyDescent="0.25">
      <c r="A44" s="2" t="s">
        <v>6</v>
      </c>
      <c r="B44" s="2" t="str">
        <f t="shared" si="2"/>
        <v>Wholesale Trade</v>
      </c>
      <c r="C44" s="2">
        <v>6</v>
      </c>
    </row>
    <row r="45" spans="1:3" x14ac:dyDescent="0.25">
      <c r="A45" s="2" t="s">
        <v>3</v>
      </c>
      <c r="B45" s="2" t="str">
        <f t="shared" si="2"/>
        <v>Utilities</v>
      </c>
      <c r="C45" s="2">
        <v>5</v>
      </c>
    </row>
    <row r="46" spans="1:3" x14ac:dyDescent="0.25">
      <c r="A46" s="2" t="s">
        <v>12</v>
      </c>
      <c r="B46" s="2" t="str">
        <f t="shared" si="2"/>
        <v>Educational Services</v>
      </c>
      <c r="C46" s="2">
        <v>4</v>
      </c>
    </row>
    <row r="47" spans="1:3" x14ac:dyDescent="0.25">
      <c r="A47" s="2" t="s">
        <v>10</v>
      </c>
      <c r="B47" s="2" t="str">
        <f t="shared" si="2"/>
        <v>Public Administration</v>
      </c>
      <c r="C47" s="2">
        <v>3</v>
      </c>
    </row>
    <row r="48" spans="1:3" x14ac:dyDescent="0.25">
      <c r="A48" s="2" t="s">
        <v>7</v>
      </c>
      <c r="B48" s="2" t="str">
        <f t="shared" si="2"/>
        <v>Construction</v>
      </c>
      <c r="C48" s="2">
        <v>2</v>
      </c>
    </row>
    <row r="49" spans="1:3" x14ac:dyDescent="0.25">
      <c r="A49" s="2" t="s">
        <v>28</v>
      </c>
      <c r="B49" s="2" t="str">
        <f t="shared" si="2"/>
        <v>Information</v>
      </c>
      <c r="C49" s="2">
        <v>1</v>
      </c>
    </row>
    <row r="50" spans="1:3" x14ac:dyDescent="0.25">
      <c r="A50" s="2" t="s">
        <v>16</v>
      </c>
      <c r="B50" s="2" t="str">
        <f t="shared" si="2"/>
        <v>Mining</v>
      </c>
      <c r="C50" s="2">
        <v>-3</v>
      </c>
    </row>
    <row r="51" spans="1:3" x14ac:dyDescent="0.25">
      <c r="A51" s="2" t="s">
        <v>11</v>
      </c>
      <c r="B51" s="2" t="str">
        <f t="shared" si="2"/>
        <v>Finance &amp; Insurance</v>
      </c>
      <c r="C51" s="2">
        <v>-2</v>
      </c>
    </row>
    <row r="52" spans="1:3" x14ac:dyDescent="0.25">
      <c r="A52" s="2" t="s">
        <v>43</v>
      </c>
      <c r="B52" s="2" t="str">
        <f t="shared" si="2"/>
        <v>Health Care &amp; Social Assistance</v>
      </c>
      <c r="C52" s="2">
        <v>-1</v>
      </c>
    </row>
    <row r="54" spans="1:3" x14ac:dyDescent="0.25">
      <c r="A54" s="39" t="s">
        <v>24</v>
      </c>
      <c r="B54" s="39"/>
      <c r="C54" s="39"/>
    </row>
    <row r="55" spans="1:3" x14ac:dyDescent="0.25">
      <c r="A55" s="2" t="s">
        <v>31</v>
      </c>
      <c r="B55" s="2" t="str">
        <f t="shared" ref="B55:B69" si="3">TRIM(A55)</f>
        <v>Accommodation &amp; Food Services</v>
      </c>
      <c r="C55" s="2">
        <v>-15</v>
      </c>
    </row>
    <row r="56" spans="1:3" x14ac:dyDescent="0.25">
      <c r="A56" s="2" t="s">
        <v>9</v>
      </c>
      <c r="B56" s="2" t="str">
        <f t="shared" si="3"/>
        <v>Management of Companies &amp; Support Services</v>
      </c>
      <c r="C56" s="2">
        <v>-14</v>
      </c>
    </row>
    <row r="57" spans="1:3" x14ac:dyDescent="0.25">
      <c r="A57" s="2" t="s">
        <v>22</v>
      </c>
      <c r="B57" s="2" t="str">
        <f t="shared" si="3"/>
        <v>Other Services</v>
      </c>
      <c r="C57" s="2">
        <v>-13</v>
      </c>
    </row>
    <row r="58" spans="1:3" x14ac:dyDescent="0.25">
      <c r="A58" s="2" t="s">
        <v>7</v>
      </c>
      <c r="B58" s="2" t="str">
        <f t="shared" si="3"/>
        <v>Construction</v>
      </c>
      <c r="C58" s="2">
        <v>-12</v>
      </c>
    </row>
    <row r="59" spans="1:3" x14ac:dyDescent="0.25">
      <c r="A59" s="2" t="s">
        <v>2</v>
      </c>
      <c r="B59" s="2" t="str">
        <f t="shared" si="3"/>
        <v>Health Care &amp; Social Assistance</v>
      </c>
      <c r="C59" s="2">
        <v>-11</v>
      </c>
    </row>
    <row r="60" spans="1:3" x14ac:dyDescent="0.25">
      <c r="A60" s="2" t="s">
        <v>33</v>
      </c>
      <c r="B60" s="2" t="str">
        <f t="shared" si="3"/>
        <v>Mining</v>
      </c>
      <c r="C60" s="2">
        <v>-10</v>
      </c>
    </row>
    <row r="61" spans="1:3" x14ac:dyDescent="0.25">
      <c r="A61" s="2" t="s">
        <v>6</v>
      </c>
      <c r="B61" s="2" t="str">
        <f t="shared" si="3"/>
        <v>Wholesale Trade</v>
      </c>
      <c r="C61" s="2">
        <v>-9</v>
      </c>
    </row>
    <row r="62" spans="1:3" x14ac:dyDescent="0.25">
      <c r="A62" s="2" t="s">
        <v>3</v>
      </c>
      <c r="B62" s="2" t="str">
        <f t="shared" si="3"/>
        <v>Utilities</v>
      </c>
      <c r="C62" s="2">
        <v>-8</v>
      </c>
    </row>
    <row r="63" spans="1:3" x14ac:dyDescent="0.25">
      <c r="A63" s="2" t="s">
        <v>12</v>
      </c>
      <c r="B63" s="2" t="str">
        <f t="shared" si="3"/>
        <v>Educational Services</v>
      </c>
      <c r="C63" s="2">
        <v>-7</v>
      </c>
    </row>
    <row r="64" spans="1:3" x14ac:dyDescent="0.25">
      <c r="A64" s="2" t="s">
        <v>13</v>
      </c>
      <c r="B64" s="2" t="str">
        <f t="shared" si="3"/>
        <v>Agriculture, Forestry, Fishing &amp; Hunting</v>
      </c>
      <c r="C64" s="2">
        <v>-6</v>
      </c>
    </row>
    <row r="65" spans="1:3" x14ac:dyDescent="0.25">
      <c r="A65" s="2" t="s">
        <v>32</v>
      </c>
      <c r="B65" s="2" t="str">
        <f t="shared" si="3"/>
        <v>Professional, Scientific &amp; Technical Services</v>
      </c>
      <c r="C65" s="2">
        <v>-5</v>
      </c>
    </row>
    <row r="66" spans="1:3" x14ac:dyDescent="0.25">
      <c r="A66" s="2" t="s">
        <v>17</v>
      </c>
      <c r="B66" s="2" t="str">
        <f t="shared" si="3"/>
        <v>Information</v>
      </c>
      <c r="C66" s="2">
        <v>-4</v>
      </c>
    </row>
    <row r="67" spans="1:3" x14ac:dyDescent="0.25">
      <c r="A67" s="2" t="s">
        <v>10</v>
      </c>
      <c r="B67" s="2" t="str">
        <f t="shared" si="3"/>
        <v>Public Administration</v>
      </c>
      <c r="C67" s="2">
        <v>-3</v>
      </c>
    </row>
    <row r="68" spans="1:3" x14ac:dyDescent="0.25">
      <c r="A68" s="2" t="s">
        <v>5</v>
      </c>
      <c r="B68" s="2" t="str">
        <f t="shared" si="3"/>
        <v>Transportation &amp; Warehousing</v>
      </c>
      <c r="C68" s="2">
        <v>-2</v>
      </c>
    </row>
    <row r="69" spans="1:3" x14ac:dyDescent="0.25">
      <c r="A69" s="2" t="s">
        <v>23</v>
      </c>
      <c r="B69" s="2" t="str">
        <f t="shared" si="3"/>
        <v>Finance &amp; Insurance</v>
      </c>
      <c r="C69" s="2">
        <v>-1</v>
      </c>
    </row>
    <row r="71" spans="1:3" x14ac:dyDescent="0.25">
      <c r="A71" s="39" t="s">
        <v>26</v>
      </c>
      <c r="B71" s="39"/>
      <c r="C71" s="39"/>
    </row>
    <row r="72" spans="1:3" x14ac:dyDescent="0.25">
      <c r="A72" s="2" t="s">
        <v>49</v>
      </c>
      <c r="B72" s="2" t="str">
        <f t="shared" ref="B72:B83" si="4">TRIM(A72)</f>
        <v> Arts, Entertainment &amp; Recreation</v>
      </c>
      <c r="C72" s="2">
        <v>6</v>
      </c>
    </row>
    <row r="73" spans="1:3" x14ac:dyDescent="0.25">
      <c r="A73" s="2" t="s">
        <v>13</v>
      </c>
      <c r="B73" s="2" t="str">
        <f t="shared" si="4"/>
        <v>Agriculture, Forestry, Fishing &amp; Hunting</v>
      </c>
      <c r="C73" s="2">
        <v>5</v>
      </c>
    </row>
    <row r="74" spans="1:3" x14ac:dyDescent="0.25">
      <c r="A74" s="2" t="s">
        <v>5</v>
      </c>
      <c r="B74" s="2" t="str">
        <f t="shared" si="4"/>
        <v>Transportation &amp; Warehousing</v>
      </c>
      <c r="C74" s="2">
        <v>4</v>
      </c>
    </row>
    <row r="75" spans="1:3" x14ac:dyDescent="0.25">
      <c r="A75" s="2" t="s">
        <v>9</v>
      </c>
      <c r="B75" s="2" t="str">
        <f t="shared" si="4"/>
        <v>Management of Companies &amp; Support Services</v>
      </c>
      <c r="C75" s="2">
        <v>3</v>
      </c>
    </row>
    <row r="76" spans="1:3" x14ac:dyDescent="0.25">
      <c r="A76" s="2" t="s">
        <v>2</v>
      </c>
      <c r="B76" s="2" t="str">
        <f t="shared" si="4"/>
        <v>Health Care &amp; Social Assistance</v>
      </c>
      <c r="C76" s="2">
        <v>2</v>
      </c>
    </row>
    <row r="77" spans="1:3" x14ac:dyDescent="0.25">
      <c r="A77" s="2" t="s">
        <v>36</v>
      </c>
      <c r="B77" s="2" t="str">
        <f t="shared" si="4"/>
        <v>Wholesale Trade</v>
      </c>
      <c r="C77" s="2">
        <v>1</v>
      </c>
    </row>
    <row r="78" spans="1:3" x14ac:dyDescent="0.25">
      <c r="A78" s="2" t="s">
        <v>29</v>
      </c>
      <c r="B78" s="2" t="str">
        <f t="shared" si="4"/>
        <v>Real Estate, Rental &amp; Leasing</v>
      </c>
      <c r="C78" s="2">
        <v>-6</v>
      </c>
    </row>
    <row r="79" spans="1:3" x14ac:dyDescent="0.25">
      <c r="A79" s="2" t="s">
        <v>11</v>
      </c>
      <c r="B79" s="2" t="str">
        <f t="shared" si="4"/>
        <v>Finance &amp; Insurance</v>
      </c>
      <c r="C79" s="2">
        <v>-5</v>
      </c>
    </row>
    <row r="80" spans="1:3" x14ac:dyDescent="0.25">
      <c r="A80" s="2" t="s">
        <v>12</v>
      </c>
      <c r="B80" s="2" t="str">
        <f t="shared" si="4"/>
        <v>Educational Services</v>
      </c>
      <c r="C80" s="2">
        <v>-4</v>
      </c>
    </row>
    <row r="81" spans="1:3" x14ac:dyDescent="0.25">
      <c r="A81" s="2" t="s">
        <v>7</v>
      </c>
      <c r="B81" s="2" t="str">
        <f t="shared" si="4"/>
        <v>Construction</v>
      </c>
      <c r="C81" s="2">
        <v>-3</v>
      </c>
    </row>
    <row r="82" spans="1:3" x14ac:dyDescent="0.25">
      <c r="A82" s="2" t="s">
        <v>17</v>
      </c>
      <c r="B82" s="2" t="str">
        <f t="shared" si="4"/>
        <v>Information</v>
      </c>
      <c r="C82" s="2">
        <v>-2</v>
      </c>
    </row>
    <row r="83" spans="1:3" x14ac:dyDescent="0.25">
      <c r="A83" s="2" t="s">
        <v>15</v>
      </c>
      <c r="B83" s="2" t="str">
        <f t="shared" si="4"/>
        <v>Professional, Scientific &amp; Technical Services</v>
      </c>
      <c r="C83" s="2">
        <v>-1</v>
      </c>
    </row>
    <row r="85" spans="1:3" x14ac:dyDescent="0.25">
      <c r="A85" s="39" t="s">
        <v>30</v>
      </c>
      <c r="B85" s="39"/>
      <c r="C85" s="39"/>
    </row>
    <row r="86" spans="1:3" x14ac:dyDescent="0.25">
      <c r="A86" s="2" t="s">
        <v>31</v>
      </c>
      <c r="B86" s="2" t="str">
        <f t="shared" ref="B86:B103" si="5">TRIM(A86)</f>
        <v>Accommodation &amp; Food Services</v>
      </c>
      <c r="C86" s="2">
        <v>18</v>
      </c>
    </row>
    <row r="87" spans="1:3" x14ac:dyDescent="0.25">
      <c r="A87" s="2" t="s">
        <v>33</v>
      </c>
      <c r="B87" s="2" t="str">
        <f t="shared" si="5"/>
        <v>Mining</v>
      </c>
      <c r="C87" s="2">
        <v>17</v>
      </c>
    </row>
    <row r="88" spans="1:3" x14ac:dyDescent="0.25">
      <c r="A88" s="2" t="s">
        <v>9</v>
      </c>
      <c r="B88" s="2" t="str">
        <f t="shared" si="5"/>
        <v>Management of Companies &amp; Support Services</v>
      </c>
      <c r="C88" s="2">
        <v>16</v>
      </c>
    </row>
    <row r="89" spans="1:3" x14ac:dyDescent="0.25">
      <c r="A89" s="2" t="s">
        <v>22</v>
      </c>
      <c r="B89" s="2" t="str">
        <f t="shared" si="5"/>
        <v>Other Services</v>
      </c>
      <c r="C89" s="2">
        <v>15</v>
      </c>
    </row>
    <row r="90" spans="1:3" x14ac:dyDescent="0.25">
      <c r="A90" s="2" t="s">
        <v>6</v>
      </c>
      <c r="B90" s="2" t="str">
        <f t="shared" si="5"/>
        <v>Wholesale Trade</v>
      </c>
      <c r="C90" s="2">
        <v>14</v>
      </c>
    </row>
    <row r="91" spans="1:3" x14ac:dyDescent="0.25">
      <c r="A91" s="2" t="s">
        <v>3</v>
      </c>
      <c r="B91" s="2" t="str">
        <f t="shared" si="5"/>
        <v>Utilities</v>
      </c>
      <c r="C91" s="2">
        <v>13</v>
      </c>
    </row>
    <row r="92" spans="1:3" x14ac:dyDescent="0.25">
      <c r="A92" s="2" t="s">
        <v>42</v>
      </c>
      <c r="B92" s="2" t="str">
        <f t="shared" si="5"/>
        <v>Arts, Entertainment &amp; Recreation</v>
      </c>
      <c r="C92" s="2">
        <v>12</v>
      </c>
    </row>
    <row r="93" spans="1:3" x14ac:dyDescent="0.25">
      <c r="A93" s="2" t="s">
        <v>7</v>
      </c>
      <c r="B93" s="2" t="str">
        <f t="shared" si="5"/>
        <v>Construction</v>
      </c>
      <c r="C93" s="2">
        <v>11</v>
      </c>
    </row>
    <row r="94" spans="1:3" x14ac:dyDescent="0.25">
      <c r="A94" s="2" t="s">
        <v>12</v>
      </c>
      <c r="B94" s="2" t="str">
        <f t="shared" si="5"/>
        <v>Educational Services</v>
      </c>
      <c r="C94" s="2">
        <v>10</v>
      </c>
    </row>
    <row r="95" spans="1:3" x14ac:dyDescent="0.25">
      <c r="A95" s="2" t="s">
        <v>17</v>
      </c>
      <c r="B95" s="2" t="str">
        <f t="shared" si="5"/>
        <v>Information</v>
      </c>
      <c r="C95" s="2">
        <v>9</v>
      </c>
    </row>
    <row r="96" spans="1:3" x14ac:dyDescent="0.25">
      <c r="A96" s="2" t="s">
        <v>5</v>
      </c>
      <c r="B96" s="2" t="str">
        <f t="shared" si="5"/>
        <v>Transportation &amp; Warehousing</v>
      </c>
      <c r="C96" s="2">
        <v>8</v>
      </c>
    </row>
    <row r="97" spans="1:3" x14ac:dyDescent="0.25">
      <c r="A97" s="2" t="s">
        <v>10</v>
      </c>
      <c r="B97" s="2" t="str">
        <f t="shared" si="5"/>
        <v>Public Administration</v>
      </c>
      <c r="C97" s="2">
        <v>7</v>
      </c>
    </row>
    <row r="98" spans="1:3" x14ac:dyDescent="0.25">
      <c r="A98" s="2" t="s">
        <v>14</v>
      </c>
      <c r="B98" s="2" t="str">
        <f t="shared" si="5"/>
        <v>Real Estate, Rental &amp; Leasing</v>
      </c>
      <c r="C98" s="2">
        <v>6</v>
      </c>
    </row>
    <row r="99" spans="1:3" x14ac:dyDescent="0.25">
      <c r="A99" s="2" t="s">
        <v>8</v>
      </c>
      <c r="B99" s="2" t="str">
        <f t="shared" si="5"/>
        <v>Retail Trade</v>
      </c>
      <c r="C99" s="2">
        <v>5</v>
      </c>
    </row>
    <row r="100" spans="1:3" x14ac:dyDescent="0.25">
      <c r="A100" s="2" t="s">
        <v>11</v>
      </c>
      <c r="B100" s="2" t="str">
        <f t="shared" si="5"/>
        <v>Finance &amp; Insurance</v>
      </c>
      <c r="C100" s="2">
        <v>4</v>
      </c>
    </row>
    <row r="101" spans="1:3" x14ac:dyDescent="0.25">
      <c r="A101" s="2" t="s">
        <v>2</v>
      </c>
      <c r="B101" s="2" t="str">
        <f t="shared" si="5"/>
        <v>Health Care &amp; Social Assistance</v>
      </c>
      <c r="C101" s="2">
        <v>3</v>
      </c>
    </row>
    <row r="102" spans="1:3" x14ac:dyDescent="0.25">
      <c r="A102" s="2" t="s">
        <v>32</v>
      </c>
      <c r="B102" s="2" t="str">
        <f t="shared" si="5"/>
        <v>Professional, Scientific &amp; Technical Services</v>
      </c>
      <c r="C102" s="2">
        <v>2</v>
      </c>
    </row>
    <row r="103" spans="1:3" x14ac:dyDescent="0.25">
      <c r="A103" s="2" t="s">
        <v>35</v>
      </c>
      <c r="B103" s="2" t="str">
        <f t="shared" si="5"/>
        <v>Agriculture, Forestry, Fishing &amp; Hunting</v>
      </c>
      <c r="C103" s="2">
        <v>1</v>
      </c>
    </row>
    <row r="105" spans="1:3" x14ac:dyDescent="0.25">
      <c r="A105" s="39" t="s">
        <v>3818</v>
      </c>
      <c r="B105" s="39"/>
      <c r="C105" s="39"/>
    </row>
    <row r="106" spans="1:3" x14ac:dyDescent="0.25">
      <c r="A106" s="2" t="s">
        <v>31</v>
      </c>
      <c r="B106" s="2" t="str">
        <f t="shared" ref="B106:B123" si="6">TRIM(A106)</f>
        <v>Accommodation &amp; Food Services</v>
      </c>
      <c r="C106" s="2">
        <v>15</v>
      </c>
    </row>
    <row r="107" spans="1:3" x14ac:dyDescent="0.25">
      <c r="A107" s="2" t="s">
        <v>5</v>
      </c>
      <c r="B107" s="2" t="str">
        <f t="shared" si="6"/>
        <v>Transportation &amp; Warehousing</v>
      </c>
      <c r="C107" s="2">
        <v>14</v>
      </c>
    </row>
    <row r="108" spans="1:3" x14ac:dyDescent="0.25">
      <c r="A108" s="2" t="s">
        <v>8</v>
      </c>
      <c r="B108" s="2" t="str">
        <f t="shared" si="6"/>
        <v>Retail Trade</v>
      </c>
      <c r="C108" s="2">
        <v>13</v>
      </c>
    </row>
    <row r="109" spans="1:3" x14ac:dyDescent="0.25">
      <c r="A109" s="2" t="s">
        <v>6</v>
      </c>
      <c r="B109" s="2" t="str">
        <f t="shared" si="6"/>
        <v>Wholesale Trade</v>
      </c>
      <c r="C109" s="2">
        <v>12</v>
      </c>
    </row>
    <row r="110" spans="1:3" x14ac:dyDescent="0.25">
      <c r="A110" s="2" t="s">
        <v>2</v>
      </c>
      <c r="B110" s="2" t="str">
        <f t="shared" si="6"/>
        <v>Health Care &amp; Social Assistance</v>
      </c>
      <c r="C110" s="2">
        <v>11</v>
      </c>
    </row>
    <row r="111" spans="1:3" x14ac:dyDescent="0.25">
      <c r="A111" s="2" t="s">
        <v>9</v>
      </c>
      <c r="B111" s="2" t="str">
        <f t="shared" si="6"/>
        <v>Management of Companies &amp; Support Services</v>
      </c>
      <c r="C111" s="2">
        <v>10</v>
      </c>
    </row>
    <row r="112" spans="1:3" x14ac:dyDescent="0.25">
      <c r="A112" s="2" t="s">
        <v>42</v>
      </c>
      <c r="B112" s="2" t="str">
        <f t="shared" si="6"/>
        <v>Arts, Entertainment &amp; Recreation</v>
      </c>
      <c r="C112" s="2">
        <v>9</v>
      </c>
    </row>
    <row r="113" spans="1:3" x14ac:dyDescent="0.25">
      <c r="A113" s="2" t="s">
        <v>7</v>
      </c>
      <c r="B113" s="2" t="str">
        <f t="shared" si="6"/>
        <v>Construction</v>
      </c>
      <c r="C113" s="2">
        <v>8</v>
      </c>
    </row>
    <row r="114" spans="1:3" x14ac:dyDescent="0.25">
      <c r="A114" s="2" t="s">
        <v>22</v>
      </c>
      <c r="B114" s="2" t="str">
        <f t="shared" si="6"/>
        <v>Other Services</v>
      </c>
      <c r="C114" s="2">
        <v>7</v>
      </c>
    </row>
    <row r="115" spans="1:3" x14ac:dyDescent="0.25">
      <c r="A115" s="2" t="s">
        <v>11</v>
      </c>
      <c r="B115" s="2" t="str">
        <f t="shared" si="6"/>
        <v>Finance &amp; Insurance</v>
      </c>
      <c r="C115" s="2">
        <v>6</v>
      </c>
    </row>
    <row r="116" spans="1:3" x14ac:dyDescent="0.25">
      <c r="A116" s="2" t="s">
        <v>14</v>
      </c>
      <c r="B116" s="2" t="str">
        <f t="shared" si="6"/>
        <v>Real Estate, Rental &amp; Leasing</v>
      </c>
      <c r="C116" s="2">
        <v>5</v>
      </c>
    </row>
    <row r="117" spans="1:3" x14ac:dyDescent="0.25">
      <c r="A117" s="2" t="s">
        <v>3</v>
      </c>
      <c r="B117" s="2" t="str">
        <f t="shared" si="6"/>
        <v>Utilities</v>
      </c>
      <c r="C117" s="2">
        <v>4</v>
      </c>
    </row>
    <row r="118" spans="1:3" x14ac:dyDescent="0.25">
      <c r="A118" s="2" t="s">
        <v>17</v>
      </c>
      <c r="B118" s="2" t="str">
        <f t="shared" si="6"/>
        <v>Information</v>
      </c>
      <c r="C118" s="2">
        <v>3</v>
      </c>
    </row>
    <row r="119" spans="1:3" x14ac:dyDescent="0.25">
      <c r="A119" s="2" t="s">
        <v>32</v>
      </c>
      <c r="B119" s="2" t="str">
        <f t="shared" si="6"/>
        <v>Professional, Scientific &amp; Technical Services</v>
      </c>
      <c r="C119" s="2">
        <v>2</v>
      </c>
    </row>
    <row r="120" spans="1:3" x14ac:dyDescent="0.25">
      <c r="A120" s="2" t="s">
        <v>34</v>
      </c>
      <c r="B120" s="2" t="str">
        <f t="shared" si="6"/>
        <v>Public Administration</v>
      </c>
      <c r="C120" s="2">
        <v>1</v>
      </c>
    </row>
    <row r="121" spans="1:3" x14ac:dyDescent="0.25">
      <c r="A121" s="2" t="s">
        <v>16</v>
      </c>
      <c r="B121" s="2" t="str">
        <f t="shared" si="6"/>
        <v>Mining</v>
      </c>
      <c r="C121" s="2">
        <v>-3</v>
      </c>
    </row>
    <row r="122" spans="1:3" x14ac:dyDescent="0.25">
      <c r="A122" s="2" t="s">
        <v>13</v>
      </c>
      <c r="B122" s="2" t="str">
        <f t="shared" si="6"/>
        <v>Agriculture, Forestry, Fishing &amp; Hunting</v>
      </c>
      <c r="C122" s="2">
        <v>-2</v>
      </c>
    </row>
    <row r="123" spans="1:3" x14ac:dyDescent="0.25">
      <c r="A123" s="2" t="s">
        <v>27</v>
      </c>
      <c r="B123" s="2" t="str">
        <f t="shared" si="6"/>
        <v>Educational Services</v>
      </c>
      <c r="C123" s="2">
        <v>-1</v>
      </c>
    </row>
  </sheetData>
  <mergeCells count="7">
    <mergeCell ref="A105:C105"/>
    <mergeCell ref="A85:C85"/>
    <mergeCell ref="A1:C1"/>
    <mergeCell ref="A20:C20"/>
    <mergeCell ref="A38:C38"/>
    <mergeCell ref="A54:C54"/>
    <mergeCell ref="A71:C7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75BE7B-091A-4B5B-BA26-075CB4E5EC78}">
  <dimension ref="A1:G122"/>
  <sheetViews>
    <sheetView workbookViewId="0">
      <selection activeCell="F7" sqref="F7"/>
    </sheetView>
  </sheetViews>
  <sheetFormatPr defaultRowHeight="15" x14ac:dyDescent="0.25"/>
  <cols>
    <col min="1" max="1" width="43.85546875" bestFit="1" customWidth="1"/>
    <col min="2" max="2" width="43.42578125" bestFit="1" customWidth="1"/>
  </cols>
  <sheetData>
    <row r="1" spans="1:7" x14ac:dyDescent="0.25">
      <c r="A1" s="39" t="s">
        <v>0</v>
      </c>
      <c r="B1" s="39"/>
      <c r="C1" s="39"/>
    </row>
    <row r="2" spans="1:7" x14ac:dyDescent="0.25">
      <c r="A2" s="2" t="s">
        <v>20</v>
      </c>
      <c r="B2" s="2" t="str">
        <f>TRIM(A2)</f>
        <v>Construction</v>
      </c>
      <c r="C2" s="2">
        <v>15</v>
      </c>
    </row>
    <row r="3" spans="1:7" x14ac:dyDescent="0.25">
      <c r="A3" s="2" t="s">
        <v>8</v>
      </c>
      <c r="B3" s="2" t="str">
        <f t="shared" ref="B3:B19" si="0">TRIM(A3)</f>
        <v>Retail Trade</v>
      </c>
      <c r="C3" s="2">
        <v>14</v>
      </c>
      <c r="F3" t="s">
        <v>31</v>
      </c>
      <c r="G3" s="29" t="s">
        <v>3844</v>
      </c>
    </row>
    <row r="4" spans="1:7" x14ac:dyDescent="0.25">
      <c r="A4" s="2" t="s">
        <v>2</v>
      </c>
      <c r="B4" s="2" t="str">
        <f t="shared" si="0"/>
        <v>Health Care &amp; Social Assistance</v>
      </c>
      <c r="C4" s="2">
        <v>13</v>
      </c>
      <c r="F4" t="s">
        <v>35</v>
      </c>
      <c r="G4" s="29" t="s">
        <v>3845</v>
      </c>
    </row>
    <row r="5" spans="1:7" x14ac:dyDescent="0.25">
      <c r="A5" s="2" t="s">
        <v>10</v>
      </c>
      <c r="B5" s="2" t="str">
        <f t="shared" si="0"/>
        <v>Public Administration</v>
      </c>
      <c r="C5" s="2">
        <v>12</v>
      </c>
      <c r="F5" t="s">
        <v>20</v>
      </c>
      <c r="G5" s="29" t="s">
        <v>3846</v>
      </c>
    </row>
    <row r="6" spans="1:7" x14ac:dyDescent="0.25">
      <c r="A6" s="2" t="s">
        <v>14</v>
      </c>
      <c r="B6" s="2" t="str">
        <f t="shared" si="0"/>
        <v>Real Estate, Rental &amp; Leasing</v>
      </c>
      <c r="C6" s="2">
        <v>11</v>
      </c>
      <c r="F6" t="s">
        <v>23</v>
      </c>
      <c r="G6" s="29" t="s">
        <v>3847</v>
      </c>
    </row>
    <row r="7" spans="1:7" x14ac:dyDescent="0.25">
      <c r="A7" s="2" t="s">
        <v>3</v>
      </c>
      <c r="B7" s="2" t="str">
        <f t="shared" si="0"/>
        <v>Utilities</v>
      </c>
      <c r="C7" s="2">
        <v>10</v>
      </c>
      <c r="F7" t="s">
        <v>43</v>
      </c>
      <c r="G7" s="29" t="s">
        <v>3848</v>
      </c>
    </row>
    <row r="8" spans="1:7" x14ac:dyDescent="0.25">
      <c r="A8" s="2" t="s">
        <v>32</v>
      </c>
      <c r="B8" s="2" t="str">
        <f t="shared" si="0"/>
        <v>Professional, Scientific &amp; Technical Services</v>
      </c>
      <c r="C8" s="2">
        <v>9</v>
      </c>
      <c r="F8" t="s">
        <v>28</v>
      </c>
      <c r="G8" s="29" t="s">
        <v>3849</v>
      </c>
    </row>
    <row r="9" spans="1:7" x14ac:dyDescent="0.25">
      <c r="A9" s="2" t="s">
        <v>22</v>
      </c>
      <c r="B9" s="2" t="str">
        <f t="shared" si="0"/>
        <v>Other Services</v>
      </c>
      <c r="C9" s="2">
        <v>8</v>
      </c>
      <c r="F9" t="s">
        <v>18</v>
      </c>
      <c r="G9" s="29" t="s">
        <v>3850</v>
      </c>
    </row>
    <row r="10" spans="1:7" x14ac:dyDescent="0.25">
      <c r="A10" s="2" t="s">
        <v>12</v>
      </c>
      <c r="B10" s="2" t="str">
        <f t="shared" si="0"/>
        <v>Educational Services</v>
      </c>
      <c r="C10" s="2">
        <v>7</v>
      </c>
      <c r="F10" t="s">
        <v>15</v>
      </c>
      <c r="G10" s="29" t="s">
        <v>3851</v>
      </c>
    </row>
    <row r="11" spans="1:7" x14ac:dyDescent="0.25">
      <c r="A11" s="2" t="s">
        <v>11</v>
      </c>
      <c r="B11" s="2" t="str">
        <f t="shared" si="0"/>
        <v>Finance &amp; Insurance</v>
      </c>
      <c r="C11" s="2">
        <v>6</v>
      </c>
      <c r="F11" t="s">
        <v>25</v>
      </c>
      <c r="G11" s="29" t="s">
        <v>3852</v>
      </c>
    </row>
    <row r="12" spans="1:7" x14ac:dyDescent="0.25">
      <c r="A12" s="2" t="s">
        <v>33</v>
      </c>
      <c r="B12" s="2" t="str">
        <f t="shared" si="0"/>
        <v>Mining</v>
      </c>
      <c r="C12" s="2">
        <v>5</v>
      </c>
      <c r="F12" t="s">
        <v>40</v>
      </c>
      <c r="G12" s="29" t="s">
        <v>3853</v>
      </c>
    </row>
    <row r="13" spans="1:7" x14ac:dyDescent="0.25">
      <c r="A13" s="2" t="s">
        <v>9</v>
      </c>
      <c r="B13" s="2" t="str">
        <f t="shared" si="0"/>
        <v>Management of Companies &amp; Support Services</v>
      </c>
      <c r="C13" s="2">
        <v>4</v>
      </c>
      <c r="F13" t="s">
        <v>36</v>
      </c>
      <c r="G13" s="29" t="s">
        <v>3854</v>
      </c>
    </row>
    <row r="14" spans="1:7" x14ac:dyDescent="0.25">
      <c r="A14" s="2" t="s">
        <v>5</v>
      </c>
      <c r="B14" s="2" t="str">
        <f t="shared" si="0"/>
        <v>Transportation &amp; Warehousing</v>
      </c>
      <c r="C14" s="2">
        <v>3</v>
      </c>
    </row>
    <row r="15" spans="1:7" x14ac:dyDescent="0.25">
      <c r="A15" s="2" t="s">
        <v>6</v>
      </c>
      <c r="B15" s="2" t="str">
        <f t="shared" si="0"/>
        <v>Wholesale Trade</v>
      </c>
      <c r="C15" s="2">
        <v>2</v>
      </c>
    </row>
    <row r="16" spans="1:7" x14ac:dyDescent="0.25">
      <c r="A16" s="2" t="s">
        <v>31</v>
      </c>
      <c r="B16" s="2" t="str">
        <f t="shared" si="0"/>
        <v>Accommodation &amp; Food Services</v>
      </c>
      <c r="C16" s="2">
        <v>1</v>
      </c>
    </row>
    <row r="17" spans="1:3" x14ac:dyDescent="0.25">
      <c r="A17" s="2" t="s">
        <v>35</v>
      </c>
      <c r="B17" s="2" t="str">
        <f t="shared" si="0"/>
        <v>Agriculture, Forestry, Fishing &amp; Hunting</v>
      </c>
      <c r="C17" s="2">
        <v>-3</v>
      </c>
    </row>
    <row r="18" spans="1:3" x14ac:dyDescent="0.25">
      <c r="A18" s="2" t="s">
        <v>42</v>
      </c>
      <c r="B18" s="2" t="str">
        <f t="shared" si="0"/>
        <v>Arts, Entertainment &amp; Recreation</v>
      </c>
      <c r="C18" s="2">
        <v>-2</v>
      </c>
    </row>
    <row r="19" spans="1:3" x14ac:dyDescent="0.25">
      <c r="A19" s="2" t="s">
        <v>28</v>
      </c>
      <c r="B19" s="2" t="str">
        <f t="shared" si="0"/>
        <v>Information</v>
      </c>
      <c r="C19" s="2">
        <v>-1</v>
      </c>
    </row>
    <row r="21" spans="1:3" x14ac:dyDescent="0.25">
      <c r="A21" s="39" t="s">
        <v>19</v>
      </c>
      <c r="B21" s="39"/>
      <c r="C21" s="39"/>
    </row>
    <row r="22" spans="1:3" x14ac:dyDescent="0.25">
      <c r="A22" s="2" t="s">
        <v>25</v>
      </c>
      <c r="B22" s="2" t="str">
        <f t="shared" ref="B22:B35" si="1">TRIM(A22)</f>
        <v>Retail Trade</v>
      </c>
      <c r="C22" s="2">
        <v>10</v>
      </c>
    </row>
    <row r="23" spans="1:3" x14ac:dyDescent="0.25">
      <c r="A23" s="2" t="s">
        <v>7</v>
      </c>
      <c r="B23" s="2" t="str">
        <f t="shared" si="1"/>
        <v>Construction</v>
      </c>
      <c r="C23" s="2">
        <v>9</v>
      </c>
    </row>
    <row r="24" spans="1:3" x14ac:dyDescent="0.25">
      <c r="A24" s="2" t="s">
        <v>10</v>
      </c>
      <c r="B24" s="2" t="str">
        <f t="shared" si="1"/>
        <v>Public Administration</v>
      </c>
      <c r="C24" s="2">
        <v>8</v>
      </c>
    </row>
    <row r="25" spans="1:3" x14ac:dyDescent="0.25">
      <c r="A25" s="2" t="s">
        <v>2</v>
      </c>
      <c r="B25" s="2" t="str">
        <f t="shared" si="1"/>
        <v>Health Care &amp; Social Assistance</v>
      </c>
      <c r="C25" s="2">
        <v>7</v>
      </c>
    </row>
    <row r="26" spans="1:3" x14ac:dyDescent="0.25">
      <c r="A26" s="2" t="s">
        <v>9</v>
      </c>
      <c r="B26" s="2" t="str">
        <f t="shared" si="1"/>
        <v>Management of Companies &amp; Support Services</v>
      </c>
      <c r="C26" s="2">
        <v>6</v>
      </c>
    </row>
    <row r="27" spans="1:3" x14ac:dyDescent="0.25">
      <c r="A27" s="2" t="s">
        <v>3</v>
      </c>
      <c r="B27" s="2" t="str">
        <f t="shared" si="1"/>
        <v>Utilities</v>
      </c>
      <c r="C27" s="2">
        <v>5</v>
      </c>
    </row>
    <row r="28" spans="1:3" x14ac:dyDescent="0.25">
      <c r="A28" s="2" t="s">
        <v>32</v>
      </c>
      <c r="B28" s="2" t="str">
        <f t="shared" si="1"/>
        <v>Professional, Scientific &amp; Technical Services</v>
      </c>
      <c r="C28" s="2">
        <v>4</v>
      </c>
    </row>
    <row r="29" spans="1:3" x14ac:dyDescent="0.25">
      <c r="A29" s="2" t="s">
        <v>11</v>
      </c>
      <c r="B29" s="2" t="str">
        <f t="shared" si="1"/>
        <v>Finance &amp; Insurance</v>
      </c>
      <c r="C29" s="2">
        <v>3</v>
      </c>
    </row>
    <row r="30" spans="1:3" x14ac:dyDescent="0.25">
      <c r="A30" s="2" t="s">
        <v>5</v>
      </c>
      <c r="B30" s="2" t="str">
        <f t="shared" si="1"/>
        <v>Transportation &amp; Warehousing</v>
      </c>
      <c r="C30" s="2">
        <v>2</v>
      </c>
    </row>
    <row r="31" spans="1:3" x14ac:dyDescent="0.25">
      <c r="A31" s="2" t="s">
        <v>27</v>
      </c>
      <c r="B31" s="2" t="str">
        <f t="shared" si="1"/>
        <v>Educational Services</v>
      </c>
      <c r="C31" s="2">
        <v>1</v>
      </c>
    </row>
    <row r="32" spans="1:3" x14ac:dyDescent="0.25">
      <c r="A32" s="2" t="s">
        <v>1</v>
      </c>
      <c r="B32" s="2" t="str">
        <f t="shared" si="1"/>
        <v>Arts, Entertainment &amp; Recreation</v>
      </c>
      <c r="C32" s="2">
        <v>-4</v>
      </c>
    </row>
    <row r="33" spans="1:3" x14ac:dyDescent="0.25">
      <c r="A33" s="2" t="s">
        <v>4</v>
      </c>
      <c r="B33" s="2" t="str">
        <f t="shared" si="1"/>
        <v>Accommodation &amp; Food Services</v>
      </c>
      <c r="C33" s="2">
        <v>-3</v>
      </c>
    </row>
    <row r="34" spans="1:3" x14ac:dyDescent="0.25">
      <c r="A34" s="2" t="s">
        <v>17</v>
      </c>
      <c r="B34" s="2" t="str">
        <f t="shared" si="1"/>
        <v>Information</v>
      </c>
      <c r="C34" s="2">
        <v>-2</v>
      </c>
    </row>
    <row r="35" spans="1:3" x14ac:dyDescent="0.25">
      <c r="A35" s="2" t="s">
        <v>36</v>
      </c>
      <c r="B35" s="2" t="str">
        <f t="shared" si="1"/>
        <v>Wholesale Trade</v>
      </c>
      <c r="C35" s="2">
        <v>-1</v>
      </c>
    </row>
    <row r="37" spans="1:3" x14ac:dyDescent="0.25">
      <c r="A37" s="39" t="s">
        <v>21</v>
      </c>
      <c r="B37" s="39"/>
      <c r="C37" s="39"/>
    </row>
    <row r="38" spans="1:3" x14ac:dyDescent="0.25">
      <c r="A38" s="2" t="s">
        <v>20</v>
      </c>
      <c r="B38" s="2" t="str">
        <f t="shared" ref="B38:B50" si="2">TRIM(A38)</f>
        <v>Construction</v>
      </c>
      <c r="C38" s="2">
        <v>5</v>
      </c>
    </row>
    <row r="39" spans="1:3" x14ac:dyDescent="0.25">
      <c r="A39" s="2" t="s">
        <v>14</v>
      </c>
      <c r="B39" s="2" t="str">
        <f t="shared" si="2"/>
        <v>Real Estate, Rental &amp; Leasing</v>
      </c>
      <c r="C39" s="2">
        <v>4</v>
      </c>
    </row>
    <row r="40" spans="1:3" x14ac:dyDescent="0.25">
      <c r="A40" s="2" t="s">
        <v>32</v>
      </c>
      <c r="B40" s="2" t="str">
        <f t="shared" si="2"/>
        <v>Professional, Scientific &amp; Technical Services</v>
      </c>
      <c r="C40" s="2">
        <v>3</v>
      </c>
    </row>
    <row r="41" spans="1:3" x14ac:dyDescent="0.25">
      <c r="A41" s="2" t="s">
        <v>4</v>
      </c>
      <c r="B41" s="2" t="str">
        <f t="shared" si="2"/>
        <v>Accommodation &amp; Food Services</v>
      </c>
      <c r="C41" s="2">
        <v>2</v>
      </c>
    </row>
    <row r="42" spans="1:3" x14ac:dyDescent="0.25">
      <c r="A42" s="2" t="s">
        <v>36</v>
      </c>
      <c r="B42" s="2" t="str">
        <f t="shared" si="2"/>
        <v>Wholesale Trade</v>
      </c>
      <c r="C42" s="2">
        <v>1</v>
      </c>
    </row>
    <row r="43" spans="1:3" x14ac:dyDescent="0.25">
      <c r="A43" s="2" t="s">
        <v>41</v>
      </c>
      <c r="B43" s="2" t="str">
        <f t="shared" si="2"/>
        <v>Management of Companies &amp; Support Services</v>
      </c>
      <c r="C43" s="2">
        <v>-8</v>
      </c>
    </row>
    <row r="44" spans="1:3" x14ac:dyDescent="0.25">
      <c r="A44" s="2" t="s">
        <v>2</v>
      </c>
      <c r="B44" s="2" t="str">
        <f t="shared" si="2"/>
        <v>Health Care &amp; Social Assistance</v>
      </c>
      <c r="C44" s="2">
        <v>-7</v>
      </c>
    </row>
    <row r="45" spans="1:3" x14ac:dyDescent="0.25">
      <c r="A45" s="2" t="s">
        <v>3</v>
      </c>
      <c r="B45" s="2" t="str">
        <f t="shared" si="2"/>
        <v>Utilities</v>
      </c>
      <c r="C45" s="2">
        <v>-6</v>
      </c>
    </row>
    <row r="46" spans="1:3" x14ac:dyDescent="0.25">
      <c r="A46" s="2" t="s">
        <v>12</v>
      </c>
      <c r="B46" s="2" t="str">
        <f t="shared" si="2"/>
        <v>Educational Services</v>
      </c>
      <c r="C46" s="2">
        <v>-5</v>
      </c>
    </row>
    <row r="47" spans="1:3" x14ac:dyDescent="0.25">
      <c r="A47" s="2" t="s">
        <v>8</v>
      </c>
      <c r="B47" s="2" t="str">
        <f t="shared" si="2"/>
        <v>Retail Trade</v>
      </c>
      <c r="C47" s="2">
        <v>-4</v>
      </c>
    </row>
    <row r="48" spans="1:3" x14ac:dyDescent="0.25">
      <c r="A48" s="2" t="s">
        <v>11</v>
      </c>
      <c r="B48" s="2" t="str">
        <f t="shared" si="2"/>
        <v>Finance &amp; Insurance</v>
      </c>
      <c r="C48" s="2">
        <v>-3</v>
      </c>
    </row>
    <row r="49" spans="1:3" x14ac:dyDescent="0.25">
      <c r="A49" s="2" t="s">
        <v>10</v>
      </c>
      <c r="B49" s="2" t="str">
        <f t="shared" si="2"/>
        <v>Public Administration</v>
      </c>
      <c r="C49" s="2">
        <v>-2</v>
      </c>
    </row>
    <row r="50" spans="1:3" x14ac:dyDescent="0.25">
      <c r="A50" s="2" t="s">
        <v>38</v>
      </c>
      <c r="B50" s="2" t="str">
        <f t="shared" si="2"/>
        <v>Transportation &amp; Warehousing</v>
      </c>
      <c r="C50" s="2">
        <v>-1</v>
      </c>
    </row>
    <row r="52" spans="1:3" x14ac:dyDescent="0.25">
      <c r="A52" s="39" t="s">
        <v>24</v>
      </c>
      <c r="B52" s="39"/>
      <c r="C52" s="39"/>
    </row>
    <row r="53" spans="1:3" x14ac:dyDescent="0.25">
      <c r="A53" s="2" t="s">
        <v>29</v>
      </c>
      <c r="B53" s="2" t="str">
        <f t="shared" ref="B53:B70" si="3">TRIM(A53)</f>
        <v>Real Estate, Rental &amp; Leasing</v>
      </c>
      <c r="C53" s="2">
        <v>-17</v>
      </c>
    </row>
    <row r="54" spans="1:3" x14ac:dyDescent="0.25">
      <c r="A54" s="2" t="s">
        <v>4</v>
      </c>
      <c r="B54" s="2" t="str">
        <f t="shared" si="3"/>
        <v>Accommodation &amp; Food Services</v>
      </c>
      <c r="C54" s="2">
        <v>-16</v>
      </c>
    </row>
    <row r="55" spans="1:3" x14ac:dyDescent="0.25">
      <c r="A55" s="2" t="s">
        <v>5</v>
      </c>
      <c r="B55" s="2" t="str">
        <f t="shared" si="3"/>
        <v>Transportation &amp; Warehousing</v>
      </c>
      <c r="C55" s="2">
        <v>-15</v>
      </c>
    </row>
    <row r="56" spans="1:3" x14ac:dyDescent="0.25">
      <c r="A56" s="2" t="s">
        <v>2</v>
      </c>
      <c r="B56" s="2" t="str">
        <f t="shared" si="3"/>
        <v>Health Care &amp; Social Assistance</v>
      </c>
      <c r="C56" s="2">
        <v>-14</v>
      </c>
    </row>
    <row r="57" spans="1:3" x14ac:dyDescent="0.25">
      <c r="A57" s="2" t="s">
        <v>7</v>
      </c>
      <c r="B57" s="2" t="str">
        <f t="shared" si="3"/>
        <v>Construction</v>
      </c>
      <c r="C57" s="2">
        <v>-13</v>
      </c>
    </row>
    <row r="58" spans="1:3" x14ac:dyDescent="0.25">
      <c r="A58" s="2" t="s">
        <v>12</v>
      </c>
      <c r="B58" s="2" t="str">
        <f t="shared" si="3"/>
        <v>Educational Services</v>
      </c>
      <c r="C58" s="2">
        <v>-12</v>
      </c>
    </row>
    <row r="59" spans="1:3" x14ac:dyDescent="0.25">
      <c r="A59" s="2" t="s">
        <v>22</v>
      </c>
      <c r="B59" s="2" t="str">
        <f t="shared" si="3"/>
        <v>Other Services</v>
      </c>
      <c r="C59" s="2">
        <v>-11</v>
      </c>
    </row>
    <row r="60" spans="1:3" x14ac:dyDescent="0.25">
      <c r="A60" s="2" t="s">
        <v>3</v>
      </c>
      <c r="B60" s="2" t="str">
        <f t="shared" si="3"/>
        <v>Utilities</v>
      </c>
      <c r="C60" s="2">
        <v>-10</v>
      </c>
    </row>
    <row r="61" spans="1:3" x14ac:dyDescent="0.25">
      <c r="A61" s="2" t="s">
        <v>42</v>
      </c>
      <c r="B61" s="2" t="str">
        <f t="shared" si="3"/>
        <v>Arts, Entertainment &amp; Recreation</v>
      </c>
      <c r="C61" s="2">
        <v>-9</v>
      </c>
    </row>
    <row r="62" spans="1:3" x14ac:dyDescent="0.25">
      <c r="A62" s="2" t="s">
        <v>33</v>
      </c>
      <c r="B62" s="2" t="str">
        <f t="shared" si="3"/>
        <v>Mining</v>
      </c>
      <c r="C62" s="2">
        <v>-8</v>
      </c>
    </row>
    <row r="63" spans="1:3" x14ac:dyDescent="0.25">
      <c r="A63" s="2" t="s">
        <v>8</v>
      </c>
      <c r="B63" s="2" t="str">
        <f t="shared" si="3"/>
        <v>Retail Trade</v>
      </c>
      <c r="C63" s="2">
        <v>-7</v>
      </c>
    </row>
    <row r="64" spans="1:3" x14ac:dyDescent="0.25">
      <c r="A64" s="2" t="s">
        <v>6</v>
      </c>
      <c r="B64" s="2" t="str">
        <f t="shared" si="3"/>
        <v>Wholesale Trade</v>
      </c>
      <c r="C64" s="2">
        <v>-6</v>
      </c>
    </row>
    <row r="65" spans="1:3" x14ac:dyDescent="0.25">
      <c r="A65" s="2" t="s">
        <v>9</v>
      </c>
      <c r="B65" s="2" t="str">
        <f t="shared" si="3"/>
        <v>Management of Companies &amp; Support Services</v>
      </c>
      <c r="C65" s="2">
        <v>-5</v>
      </c>
    </row>
    <row r="66" spans="1:3" x14ac:dyDescent="0.25">
      <c r="A66" s="2" t="s">
        <v>10</v>
      </c>
      <c r="B66" s="2" t="str">
        <f t="shared" si="3"/>
        <v>Public Administration</v>
      </c>
      <c r="C66" s="2">
        <v>-4</v>
      </c>
    </row>
    <row r="67" spans="1:3" x14ac:dyDescent="0.25">
      <c r="A67" s="2" t="s">
        <v>11</v>
      </c>
      <c r="B67" s="2" t="str">
        <f t="shared" si="3"/>
        <v>Finance &amp; Insurance</v>
      </c>
      <c r="C67" s="2">
        <v>-3</v>
      </c>
    </row>
    <row r="68" spans="1:3" x14ac:dyDescent="0.25">
      <c r="A68" s="2" t="s">
        <v>17</v>
      </c>
      <c r="B68" s="2" t="str">
        <f t="shared" si="3"/>
        <v>Information</v>
      </c>
      <c r="C68" s="2">
        <v>-2</v>
      </c>
    </row>
    <row r="69" spans="1:3" x14ac:dyDescent="0.25">
      <c r="A69" s="2" t="s">
        <v>15</v>
      </c>
      <c r="B69" s="2" t="str">
        <f t="shared" si="3"/>
        <v>Professional, Scientific &amp; Technical Services</v>
      </c>
      <c r="C69" s="2">
        <v>-1</v>
      </c>
    </row>
    <row r="70" spans="1:3" x14ac:dyDescent="0.25">
      <c r="A70" s="2" t="s">
        <v>35</v>
      </c>
      <c r="B70" s="2" t="str">
        <f t="shared" si="3"/>
        <v>Agriculture, Forestry, Fishing &amp; Hunting</v>
      </c>
      <c r="C70" s="2">
        <v>1</v>
      </c>
    </row>
    <row r="72" spans="1:3" x14ac:dyDescent="0.25">
      <c r="A72" s="39" t="s">
        <v>26</v>
      </c>
      <c r="B72" s="39"/>
      <c r="C72" s="39"/>
    </row>
    <row r="73" spans="1:3" x14ac:dyDescent="0.25">
      <c r="A73" s="2" t="s">
        <v>27</v>
      </c>
      <c r="B73" s="2" t="str">
        <f t="shared" ref="B73:B85" si="4">TRIM(A73)</f>
        <v>Educational Services</v>
      </c>
      <c r="C73" s="2">
        <v>7</v>
      </c>
    </row>
    <row r="74" spans="1:3" x14ac:dyDescent="0.25">
      <c r="A74" s="2" t="s">
        <v>6</v>
      </c>
      <c r="B74" s="2" t="str">
        <f t="shared" si="4"/>
        <v>Wholesale Trade</v>
      </c>
      <c r="C74" s="2">
        <v>6</v>
      </c>
    </row>
    <row r="75" spans="1:3" x14ac:dyDescent="0.25">
      <c r="A75" s="2" t="s">
        <v>7</v>
      </c>
      <c r="B75" s="2" t="str">
        <f t="shared" si="4"/>
        <v>Construction</v>
      </c>
      <c r="C75" s="2">
        <v>5</v>
      </c>
    </row>
    <row r="76" spans="1:3" x14ac:dyDescent="0.25">
      <c r="A76" s="2" t="s">
        <v>3</v>
      </c>
      <c r="B76" s="2" t="str">
        <f t="shared" si="4"/>
        <v>Utilities</v>
      </c>
      <c r="C76" s="2">
        <v>4</v>
      </c>
    </row>
    <row r="77" spans="1:3" x14ac:dyDescent="0.25">
      <c r="A77" s="2" t="s">
        <v>2</v>
      </c>
      <c r="B77" s="2" t="str">
        <f t="shared" si="4"/>
        <v>Health Care &amp; Social Assistance</v>
      </c>
      <c r="C77" s="2">
        <v>3</v>
      </c>
    </row>
    <row r="78" spans="1:3" x14ac:dyDescent="0.25">
      <c r="A78" s="2" t="s">
        <v>4</v>
      </c>
      <c r="B78" s="2" t="str">
        <f t="shared" si="4"/>
        <v>Accommodation &amp; Food Services</v>
      </c>
      <c r="C78" s="2">
        <v>2</v>
      </c>
    </row>
    <row r="79" spans="1:3" x14ac:dyDescent="0.25">
      <c r="A79" s="2" t="s">
        <v>28</v>
      </c>
      <c r="B79" s="2" t="str">
        <f t="shared" si="4"/>
        <v>Information</v>
      </c>
      <c r="C79" s="2">
        <v>1</v>
      </c>
    </row>
    <row r="80" spans="1:3" x14ac:dyDescent="0.25">
      <c r="A80" s="2" t="s">
        <v>1</v>
      </c>
      <c r="B80" s="2" t="str">
        <f t="shared" si="4"/>
        <v>Arts, Entertainment &amp; Recreation</v>
      </c>
      <c r="C80" s="2">
        <v>-6</v>
      </c>
    </row>
    <row r="81" spans="1:3" x14ac:dyDescent="0.25">
      <c r="A81" s="2" t="s">
        <v>8</v>
      </c>
      <c r="B81" s="2" t="str">
        <f t="shared" si="4"/>
        <v>Retail Trade</v>
      </c>
      <c r="C81" s="2">
        <v>-5</v>
      </c>
    </row>
    <row r="82" spans="1:3" x14ac:dyDescent="0.25">
      <c r="A82" s="2" t="s">
        <v>22</v>
      </c>
      <c r="B82" s="2" t="str">
        <f t="shared" si="4"/>
        <v>Other Services</v>
      </c>
      <c r="C82" s="2">
        <v>-4</v>
      </c>
    </row>
    <row r="83" spans="1:3" x14ac:dyDescent="0.25">
      <c r="A83" s="2" t="s">
        <v>13</v>
      </c>
      <c r="B83" s="2" t="str">
        <f t="shared" si="4"/>
        <v>Agriculture, Forestry, Fishing &amp; Hunting</v>
      </c>
      <c r="C83" s="2">
        <v>-3</v>
      </c>
    </row>
    <row r="84" spans="1:3" x14ac:dyDescent="0.25">
      <c r="A84" s="2" t="s">
        <v>5</v>
      </c>
      <c r="B84" s="2" t="str">
        <f t="shared" si="4"/>
        <v>Transportation &amp; Warehousing</v>
      </c>
      <c r="C84" s="2">
        <v>-2</v>
      </c>
    </row>
    <row r="85" spans="1:3" x14ac:dyDescent="0.25">
      <c r="A85" s="2" t="s">
        <v>34</v>
      </c>
      <c r="B85" s="2" t="str">
        <f t="shared" si="4"/>
        <v>Public Administration</v>
      </c>
      <c r="C85" s="2">
        <v>-1</v>
      </c>
    </row>
    <row r="87" spans="1:3" x14ac:dyDescent="0.25">
      <c r="A87" s="39" t="s">
        <v>30</v>
      </c>
      <c r="B87" s="39"/>
      <c r="C87" s="39"/>
    </row>
    <row r="88" spans="1:3" x14ac:dyDescent="0.25">
      <c r="A88" s="2" t="s">
        <v>35</v>
      </c>
      <c r="B88" s="2" t="str">
        <f t="shared" ref="B88:B105" si="5">TRIM(A88)</f>
        <v>Agriculture, Forestry, Fishing &amp; Hunting</v>
      </c>
      <c r="C88" s="2">
        <v>18</v>
      </c>
    </row>
    <row r="89" spans="1:3" x14ac:dyDescent="0.25">
      <c r="A89" s="2" t="s">
        <v>42</v>
      </c>
      <c r="B89" s="2" t="str">
        <f t="shared" si="5"/>
        <v>Arts, Entertainment &amp; Recreation</v>
      </c>
      <c r="C89" s="2">
        <v>17</v>
      </c>
    </row>
    <row r="90" spans="1:3" x14ac:dyDescent="0.25">
      <c r="A90" s="2" t="s">
        <v>7</v>
      </c>
      <c r="B90" s="2" t="str">
        <f t="shared" si="5"/>
        <v>Construction</v>
      </c>
      <c r="C90" s="2">
        <v>16</v>
      </c>
    </row>
    <row r="91" spans="1:3" x14ac:dyDescent="0.25">
      <c r="A91" s="2" t="s">
        <v>9</v>
      </c>
      <c r="B91" s="2" t="str">
        <f t="shared" si="5"/>
        <v>Management of Companies &amp; Support Services</v>
      </c>
      <c r="C91" s="2">
        <v>15</v>
      </c>
    </row>
    <row r="92" spans="1:3" x14ac:dyDescent="0.25">
      <c r="A92" s="2" t="s">
        <v>4</v>
      </c>
      <c r="B92" s="2" t="str">
        <f t="shared" si="5"/>
        <v>Accommodation &amp; Food Services</v>
      </c>
      <c r="C92" s="2">
        <v>14</v>
      </c>
    </row>
    <row r="93" spans="1:3" x14ac:dyDescent="0.25">
      <c r="A93" s="2" t="s">
        <v>8</v>
      </c>
      <c r="B93" s="2" t="str">
        <f t="shared" si="5"/>
        <v>Retail Trade</v>
      </c>
      <c r="C93" s="2">
        <v>13</v>
      </c>
    </row>
    <row r="94" spans="1:3" x14ac:dyDescent="0.25">
      <c r="A94" s="2" t="s">
        <v>5</v>
      </c>
      <c r="B94" s="2" t="str">
        <f t="shared" si="5"/>
        <v>Transportation &amp; Warehousing</v>
      </c>
      <c r="C94" s="2">
        <v>12</v>
      </c>
    </row>
    <row r="95" spans="1:3" x14ac:dyDescent="0.25">
      <c r="A95" s="2" t="s">
        <v>6</v>
      </c>
      <c r="B95" s="2" t="str">
        <f t="shared" si="5"/>
        <v>Wholesale Trade</v>
      </c>
      <c r="C95" s="2">
        <v>11</v>
      </c>
    </row>
    <row r="96" spans="1:3" x14ac:dyDescent="0.25">
      <c r="A96" s="2" t="s">
        <v>3</v>
      </c>
      <c r="B96" s="2" t="str">
        <f t="shared" si="5"/>
        <v>Utilities</v>
      </c>
      <c r="C96" s="2">
        <v>10</v>
      </c>
    </row>
    <row r="97" spans="1:3" x14ac:dyDescent="0.25">
      <c r="A97" s="2" t="s">
        <v>33</v>
      </c>
      <c r="B97" s="2" t="str">
        <f t="shared" si="5"/>
        <v>Mining</v>
      </c>
      <c r="C97" s="2">
        <v>9</v>
      </c>
    </row>
    <row r="98" spans="1:3" x14ac:dyDescent="0.25">
      <c r="A98" s="2" t="s">
        <v>32</v>
      </c>
      <c r="B98" s="2" t="str">
        <f t="shared" si="5"/>
        <v>Professional, Scientific &amp; Technical Services</v>
      </c>
      <c r="C98" s="2">
        <v>8</v>
      </c>
    </row>
    <row r="99" spans="1:3" x14ac:dyDescent="0.25">
      <c r="A99" s="2" t="s">
        <v>10</v>
      </c>
      <c r="B99" s="2" t="str">
        <f t="shared" si="5"/>
        <v>Public Administration</v>
      </c>
      <c r="C99" s="2">
        <v>7</v>
      </c>
    </row>
    <row r="100" spans="1:3" x14ac:dyDescent="0.25">
      <c r="A100" s="2" t="s">
        <v>11</v>
      </c>
      <c r="B100" s="2" t="str">
        <f t="shared" si="5"/>
        <v>Finance &amp; Insurance</v>
      </c>
      <c r="C100" s="2">
        <v>6</v>
      </c>
    </row>
    <row r="101" spans="1:3" x14ac:dyDescent="0.25">
      <c r="A101" s="2" t="s">
        <v>2</v>
      </c>
      <c r="B101" s="2" t="str">
        <f t="shared" si="5"/>
        <v>Health Care &amp; Social Assistance</v>
      </c>
      <c r="C101" s="2">
        <v>5</v>
      </c>
    </row>
    <row r="102" spans="1:3" x14ac:dyDescent="0.25">
      <c r="A102" s="2" t="s">
        <v>17</v>
      </c>
      <c r="B102" s="2" t="str">
        <f t="shared" si="5"/>
        <v>Information</v>
      </c>
      <c r="C102" s="2">
        <v>4</v>
      </c>
    </row>
    <row r="103" spans="1:3" x14ac:dyDescent="0.25">
      <c r="A103" s="2" t="s">
        <v>14</v>
      </c>
      <c r="B103" s="2" t="str">
        <f t="shared" si="5"/>
        <v>Real Estate, Rental &amp; Leasing</v>
      </c>
      <c r="C103" s="2">
        <v>3</v>
      </c>
    </row>
    <row r="104" spans="1:3" x14ac:dyDescent="0.25">
      <c r="A104" s="2" t="s">
        <v>12</v>
      </c>
      <c r="B104" s="2" t="str">
        <f t="shared" si="5"/>
        <v>Educational Services</v>
      </c>
      <c r="C104" s="2">
        <v>2</v>
      </c>
    </row>
    <row r="105" spans="1:3" x14ac:dyDescent="0.25">
      <c r="A105" s="2" t="s">
        <v>18</v>
      </c>
      <c r="B105" s="2" t="str">
        <f t="shared" si="5"/>
        <v>Other Services</v>
      </c>
      <c r="C105" s="2">
        <v>1</v>
      </c>
    </row>
    <row r="107" spans="1:3" x14ac:dyDescent="0.25">
      <c r="A107" s="39" t="s">
        <v>3818</v>
      </c>
      <c r="B107" s="39"/>
      <c r="C107" s="39"/>
    </row>
    <row r="108" spans="1:3" x14ac:dyDescent="0.25">
      <c r="A108" s="2" t="s">
        <v>25</v>
      </c>
      <c r="B108" s="2" t="str">
        <f t="shared" ref="B108:B122" si="6">TRIM(A108)</f>
        <v>Retail Trade</v>
      </c>
      <c r="C108" s="2">
        <v>8</v>
      </c>
    </row>
    <row r="109" spans="1:3" x14ac:dyDescent="0.25">
      <c r="A109" s="2" t="s">
        <v>2</v>
      </c>
      <c r="B109" s="2" t="str">
        <f t="shared" si="6"/>
        <v>Health Care &amp; Social Assistance</v>
      </c>
      <c r="C109" s="2">
        <v>7</v>
      </c>
    </row>
    <row r="110" spans="1:3" x14ac:dyDescent="0.25">
      <c r="A110" s="2" t="s">
        <v>7</v>
      </c>
      <c r="B110" s="2" t="str">
        <f t="shared" si="6"/>
        <v>Construction</v>
      </c>
      <c r="C110" s="2">
        <v>6</v>
      </c>
    </row>
    <row r="111" spans="1:3" x14ac:dyDescent="0.25">
      <c r="A111" s="2" t="s">
        <v>10</v>
      </c>
      <c r="B111" s="2" t="str">
        <f t="shared" si="6"/>
        <v>Public Administration</v>
      </c>
      <c r="C111" s="2">
        <v>5</v>
      </c>
    </row>
    <row r="112" spans="1:3" x14ac:dyDescent="0.25">
      <c r="A112" s="2" t="s">
        <v>3</v>
      </c>
      <c r="B112" s="2" t="str">
        <f t="shared" si="6"/>
        <v>Utilities</v>
      </c>
      <c r="C112" s="2">
        <v>4</v>
      </c>
    </row>
    <row r="113" spans="1:3" x14ac:dyDescent="0.25">
      <c r="A113" s="2" t="s">
        <v>32</v>
      </c>
      <c r="B113" s="2" t="str">
        <f t="shared" si="6"/>
        <v>Professional, Scientific &amp; Technical Services</v>
      </c>
      <c r="C113" s="2">
        <v>3</v>
      </c>
    </row>
    <row r="114" spans="1:3" x14ac:dyDescent="0.25">
      <c r="A114" s="2" t="s">
        <v>11</v>
      </c>
      <c r="B114" s="2" t="str">
        <f t="shared" si="6"/>
        <v>Finance &amp; Insurance</v>
      </c>
      <c r="C114" s="2">
        <v>2</v>
      </c>
    </row>
    <row r="115" spans="1:3" x14ac:dyDescent="0.25">
      <c r="A115" s="2" t="s">
        <v>41</v>
      </c>
      <c r="B115" s="2" t="str">
        <f t="shared" si="6"/>
        <v>Management of Companies &amp; Support Services</v>
      </c>
      <c r="C115" s="2">
        <v>1</v>
      </c>
    </row>
    <row r="116" spans="1:3" x14ac:dyDescent="0.25">
      <c r="A116" s="2" t="s">
        <v>1</v>
      </c>
      <c r="B116" s="2" t="str">
        <f t="shared" si="6"/>
        <v>Arts, Entertainment &amp; Recreation</v>
      </c>
      <c r="C116" s="2">
        <v>-7</v>
      </c>
    </row>
    <row r="117" spans="1:3" x14ac:dyDescent="0.25">
      <c r="A117" s="2" t="s">
        <v>13</v>
      </c>
      <c r="B117" s="2" t="str">
        <f t="shared" si="6"/>
        <v>Agriculture, Forestry, Fishing &amp; Hunting</v>
      </c>
      <c r="C117" s="2">
        <v>-6</v>
      </c>
    </row>
    <row r="118" spans="1:3" x14ac:dyDescent="0.25">
      <c r="A118" s="2" t="s">
        <v>17</v>
      </c>
      <c r="B118" s="2" t="str">
        <f t="shared" si="6"/>
        <v>Information</v>
      </c>
      <c r="C118" s="2">
        <v>-5</v>
      </c>
    </row>
    <row r="119" spans="1:3" x14ac:dyDescent="0.25">
      <c r="A119" s="2" t="s">
        <v>4</v>
      </c>
      <c r="B119" s="2" t="str">
        <f t="shared" si="6"/>
        <v>Accommodation &amp; Food Services</v>
      </c>
      <c r="C119" s="2">
        <v>-4</v>
      </c>
    </row>
    <row r="120" spans="1:3" x14ac:dyDescent="0.25">
      <c r="A120" s="2" t="s">
        <v>5</v>
      </c>
      <c r="B120" s="2" t="str">
        <f t="shared" si="6"/>
        <v>Transportation &amp; Warehousing</v>
      </c>
      <c r="C120" s="2">
        <v>-3</v>
      </c>
    </row>
    <row r="121" spans="1:3" x14ac:dyDescent="0.25">
      <c r="A121" s="2" t="s">
        <v>14</v>
      </c>
      <c r="B121" s="2" t="str">
        <f t="shared" si="6"/>
        <v>Real Estate, Rental &amp; Leasing</v>
      </c>
      <c r="C121" s="2">
        <v>-2</v>
      </c>
    </row>
    <row r="122" spans="1:3" x14ac:dyDescent="0.25">
      <c r="A122" s="2" t="s">
        <v>27</v>
      </c>
      <c r="B122" s="2" t="str">
        <f t="shared" si="6"/>
        <v>Educational Services</v>
      </c>
      <c r="C122" s="2">
        <v>-1</v>
      </c>
    </row>
  </sheetData>
  <mergeCells count="7">
    <mergeCell ref="A107:C107"/>
    <mergeCell ref="A87:C87"/>
    <mergeCell ref="A1:C1"/>
    <mergeCell ref="A21:C21"/>
    <mergeCell ref="A37:C37"/>
    <mergeCell ref="A52:C52"/>
    <mergeCell ref="A72:C72"/>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CD6D7A-9C58-499A-B5C2-0BB019740314}">
  <dimension ref="A1:G127"/>
  <sheetViews>
    <sheetView workbookViewId="0">
      <selection activeCell="G28" sqref="G28"/>
    </sheetView>
  </sheetViews>
  <sheetFormatPr defaultRowHeight="15" x14ac:dyDescent="0.25"/>
  <cols>
    <col min="1" max="1" width="43.85546875" bestFit="1" customWidth="1"/>
    <col min="2" max="2" width="43.42578125" bestFit="1" customWidth="1"/>
    <col min="6" max="6" width="40.42578125" bestFit="1" customWidth="1"/>
  </cols>
  <sheetData>
    <row r="1" spans="1:7" x14ac:dyDescent="0.25">
      <c r="A1" s="39" t="s">
        <v>0</v>
      </c>
      <c r="B1" s="39"/>
      <c r="C1" s="39"/>
    </row>
    <row r="2" spans="1:7" x14ac:dyDescent="0.25">
      <c r="A2" s="2" t="s">
        <v>20</v>
      </c>
      <c r="B2" s="2" t="str">
        <f>TRIM(A2)</f>
        <v>Construction</v>
      </c>
      <c r="C2" s="2">
        <v>14</v>
      </c>
    </row>
    <row r="3" spans="1:7" x14ac:dyDescent="0.25">
      <c r="A3" s="2" t="s">
        <v>5</v>
      </c>
      <c r="B3" s="2" t="str">
        <f t="shared" ref="B3:B19" si="0">TRIM(A3)</f>
        <v>Transportation &amp; Warehousing</v>
      </c>
      <c r="C3" s="2">
        <v>13</v>
      </c>
    </row>
    <row r="4" spans="1:7" x14ac:dyDescent="0.25">
      <c r="A4" s="2" t="s">
        <v>12</v>
      </c>
      <c r="B4" s="2" t="str">
        <f t="shared" si="0"/>
        <v>Educational Services</v>
      </c>
      <c r="C4" s="2">
        <v>12</v>
      </c>
      <c r="F4" t="s">
        <v>31</v>
      </c>
      <c r="G4" s="29" t="s">
        <v>3834</v>
      </c>
    </row>
    <row r="5" spans="1:7" x14ac:dyDescent="0.25">
      <c r="A5" s="2" t="s">
        <v>9</v>
      </c>
      <c r="B5" s="2" t="str">
        <f t="shared" si="0"/>
        <v>Management of Companies &amp; Support Services</v>
      </c>
      <c r="C5" s="2">
        <v>11</v>
      </c>
      <c r="F5" t="s">
        <v>35</v>
      </c>
      <c r="G5" s="29" t="s">
        <v>3835</v>
      </c>
    </row>
    <row r="6" spans="1:7" x14ac:dyDescent="0.25">
      <c r="A6" s="2" t="s">
        <v>6</v>
      </c>
      <c r="B6" s="2" t="str">
        <f t="shared" si="0"/>
        <v>Wholesale Trade</v>
      </c>
      <c r="C6" s="2">
        <v>10</v>
      </c>
      <c r="F6" t="s">
        <v>1</v>
      </c>
      <c r="G6" s="29" t="s">
        <v>3836</v>
      </c>
    </row>
    <row r="7" spans="1:7" x14ac:dyDescent="0.25">
      <c r="A7" s="2" t="s">
        <v>33</v>
      </c>
      <c r="B7" s="2" t="str">
        <f t="shared" si="0"/>
        <v>Mining</v>
      </c>
      <c r="C7" s="2">
        <v>9</v>
      </c>
      <c r="F7" t="s">
        <v>20</v>
      </c>
      <c r="G7" s="29" t="s">
        <v>3837</v>
      </c>
    </row>
    <row r="8" spans="1:7" x14ac:dyDescent="0.25">
      <c r="A8" s="2" t="s">
        <v>3</v>
      </c>
      <c r="B8" s="2" t="str">
        <f t="shared" si="0"/>
        <v>Utilities</v>
      </c>
      <c r="C8" s="2">
        <v>8</v>
      </c>
      <c r="F8" t="s">
        <v>27</v>
      </c>
      <c r="G8" s="29" t="s">
        <v>3838</v>
      </c>
    </row>
    <row r="9" spans="1:7" x14ac:dyDescent="0.25">
      <c r="A9" s="2" t="s">
        <v>2</v>
      </c>
      <c r="B9" s="2" t="str">
        <f t="shared" si="0"/>
        <v>Health Care &amp; Social Assistance</v>
      </c>
      <c r="C9" s="2">
        <v>7</v>
      </c>
      <c r="F9" t="s">
        <v>23</v>
      </c>
      <c r="G9" s="29" t="s">
        <v>3839</v>
      </c>
    </row>
    <row r="10" spans="1:7" x14ac:dyDescent="0.25">
      <c r="A10" s="2" t="s">
        <v>11</v>
      </c>
      <c r="B10" s="2" t="str">
        <f t="shared" si="0"/>
        <v>Finance &amp; Insurance</v>
      </c>
      <c r="C10" s="2">
        <v>6</v>
      </c>
      <c r="F10" t="s">
        <v>43</v>
      </c>
      <c r="G10" s="29" t="s">
        <v>3840</v>
      </c>
    </row>
    <row r="11" spans="1:7" x14ac:dyDescent="0.25">
      <c r="A11" s="2" t="s">
        <v>32</v>
      </c>
      <c r="B11" s="2" t="str">
        <f t="shared" si="0"/>
        <v>Professional, Scientific &amp; Technical Services</v>
      </c>
      <c r="C11" s="2">
        <v>5</v>
      </c>
      <c r="F11" t="s">
        <v>28</v>
      </c>
      <c r="G11" s="29" t="s">
        <v>3841</v>
      </c>
    </row>
    <row r="12" spans="1:7" x14ac:dyDescent="0.25">
      <c r="A12" s="2" t="s">
        <v>10</v>
      </c>
      <c r="B12" s="2" t="str">
        <f t="shared" si="0"/>
        <v>Public Administration</v>
      </c>
      <c r="C12" s="2">
        <v>4</v>
      </c>
      <c r="F12" t="s">
        <v>15</v>
      </c>
      <c r="G12" s="29" t="s">
        <v>3842</v>
      </c>
    </row>
    <row r="13" spans="1:7" x14ac:dyDescent="0.25">
      <c r="A13" s="2" t="s">
        <v>8</v>
      </c>
      <c r="B13" s="2" t="str">
        <f t="shared" si="0"/>
        <v>Retail Trade</v>
      </c>
      <c r="C13" s="2">
        <v>3</v>
      </c>
      <c r="F13" t="s">
        <v>40</v>
      </c>
      <c r="G13" s="29" t="s">
        <v>3843</v>
      </c>
    </row>
    <row r="14" spans="1:7" x14ac:dyDescent="0.25">
      <c r="A14" s="2" t="s">
        <v>17</v>
      </c>
      <c r="B14" s="2" t="str">
        <f t="shared" si="0"/>
        <v>Information</v>
      </c>
      <c r="C14" s="2">
        <v>2</v>
      </c>
    </row>
    <row r="15" spans="1:7" x14ac:dyDescent="0.25">
      <c r="A15" s="2" t="s">
        <v>18</v>
      </c>
      <c r="B15" s="2" t="str">
        <f t="shared" si="0"/>
        <v>Other Services</v>
      </c>
      <c r="C15" s="2">
        <v>1</v>
      </c>
    </row>
    <row r="16" spans="1:7" x14ac:dyDescent="0.25">
      <c r="A16" s="2" t="s">
        <v>29</v>
      </c>
      <c r="B16" s="2" t="str">
        <f t="shared" si="0"/>
        <v>Real Estate, Rental &amp; Leasing</v>
      </c>
      <c r="C16" s="2">
        <v>-4</v>
      </c>
    </row>
    <row r="17" spans="1:3" x14ac:dyDescent="0.25">
      <c r="A17" s="2" t="s">
        <v>42</v>
      </c>
      <c r="B17" s="2" t="str">
        <f t="shared" si="0"/>
        <v>Arts, Entertainment &amp; Recreation</v>
      </c>
      <c r="C17" s="2">
        <v>-3</v>
      </c>
    </row>
    <row r="18" spans="1:3" x14ac:dyDescent="0.25">
      <c r="A18" s="2" t="s">
        <v>13</v>
      </c>
      <c r="B18" s="2" t="str">
        <f t="shared" si="0"/>
        <v>Agriculture, Forestry, Fishing &amp; Hunting</v>
      </c>
      <c r="C18" s="2">
        <v>-2</v>
      </c>
    </row>
    <row r="19" spans="1:3" x14ac:dyDescent="0.25">
      <c r="A19" s="2" t="s">
        <v>31</v>
      </c>
      <c r="B19" s="2" t="str">
        <f t="shared" si="0"/>
        <v>Accommodation &amp; Food Services</v>
      </c>
      <c r="C19" s="2">
        <v>-1</v>
      </c>
    </row>
    <row r="21" spans="1:3" x14ac:dyDescent="0.25">
      <c r="A21" s="39" t="s">
        <v>19</v>
      </c>
      <c r="B21" s="39"/>
      <c r="C21" s="39"/>
    </row>
    <row r="22" spans="1:3" x14ac:dyDescent="0.25">
      <c r="A22" s="2" t="s">
        <v>41</v>
      </c>
      <c r="B22" s="2" t="str">
        <f t="shared" ref="B22:B35" si="1">TRIM(A22)</f>
        <v>Management of Companies &amp; Support Services</v>
      </c>
      <c r="C22" s="2">
        <v>11</v>
      </c>
    </row>
    <row r="23" spans="1:3" x14ac:dyDescent="0.25">
      <c r="A23" s="2" t="s">
        <v>7</v>
      </c>
      <c r="B23" s="2" t="str">
        <f t="shared" si="1"/>
        <v>Construction</v>
      </c>
      <c r="C23" s="2">
        <v>10</v>
      </c>
    </row>
    <row r="24" spans="1:3" x14ac:dyDescent="0.25">
      <c r="A24" s="2" t="s">
        <v>12</v>
      </c>
      <c r="B24" s="2" t="str">
        <f t="shared" si="1"/>
        <v>Educational Services</v>
      </c>
      <c r="C24" s="2">
        <v>9</v>
      </c>
    </row>
    <row r="25" spans="1:3" x14ac:dyDescent="0.25">
      <c r="A25" s="2" t="s">
        <v>3</v>
      </c>
      <c r="B25" s="2" t="str">
        <f t="shared" si="1"/>
        <v>Utilities</v>
      </c>
      <c r="C25" s="2">
        <v>8</v>
      </c>
    </row>
    <row r="26" spans="1:3" x14ac:dyDescent="0.25">
      <c r="A26" s="2" t="s">
        <v>33</v>
      </c>
      <c r="B26" s="2" t="str">
        <f t="shared" si="1"/>
        <v>Mining</v>
      </c>
      <c r="C26" s="2">
        <v>7</v>
      </c>
    </row>
    <row r="27" spans="1:3" x14ac:dyDescent="0.25">
      <c r="A27" s="2" t="s">
        <v>5</v>
      </c>
      <c r="B27" s="2" t="str">
        <f t="shared" si="1"/>
        <v>Transportation &amp; Warehousing</v>
      </c>
      <c r="C27" s="2">
        <v>6</v>
      </c>
    </row>
    <row r="28" spans="1:3" x14ac:dyDescent="0.25">
      <c r="A28" s="2" t="s">
        <v>11</v>
      </c>
      <c r="B28" s="2" t="str">
        <f t="shared" si="1"/>
        <v>Finance &amp; Insurance</v>
      </c>
      <c r="C28" s="2">
        <v>5</v>
      </c>
    </row>
    <row r="29" spans="1:3" x14ac:dyDescent="0.25">
      <c r="A29" s="2" t="s">
        <v>10</v>
      </c>
      <c r="B29" s="2" t="str">
        <f t="shared" si="1"/>
        <v>Public Administration</v>
      </c>
      <c r="C29" s="2">
        <v>4</v>
      </c>
    </row>
    <row r="30" spans="1:3" x14ac:dyDescent="0.25">
      <c r="A30" s="2" t="s">
        <v>6</v>
      </c>
      <c r="B30" s="2" t="str">
        <f t="shared" si="1"/>
        <v>Wholesale Trade</v>
      </c>
      <c r="C30" s="2">
        <v>3</v>
      </c>
    </row>
    <row r="31" spans="1:3" x14ac:dyDescent="0.25">
      <c r="A31" s="2" t="s">
        <v>32</v>
      </c>
      <c r="B31" s="2" t="str">
        <f t="shared" si="1"/>
        <v>Professional, Scientific &amp; Technical Services</v>
      </c>
      <c r="C31" s="2">
        <v>2</v>
      </c>
    </row>
    <row r="32" spans="1:3" x14ac:dyDescent="0.25">
      <c r="A32" s="2" t="s">
        <v>25</v>
      </c>
      <c r="B32" s="2" t="str">
        <f t="shared" si="1"/>
        <v>Retail Trade</v>
      </c>
      <c r="C32" s="2">
        <v>1</v>
      </c>
    </row>
    <row r="33" spans="1:3" x14ac:dyDescent="0.25">
      <c r="A33" s="2" t="s">
        <v>31</v>
      </c>
      <c r="B33" s="2" t="str">
        <f t="shared" si="1"/>
        <v>Accommodation &amp; Food Services</v>
      </c>
      <c r="C33" s="2">
        <v>-3</v>
      </c>
    </row>
    <row r="34" spans="1:3" x14ac:dyDescent="0.25">
      <c r="A34" s="2" t="s">
        <v>42</v>
      </c>
      <c r="B34" s="2" t="str">
        <f t="shared" si="1"/>
        <v>Arts, Entertainment &amp; Recreation</v>
      </c>
      <c r="C34" s="2">
        <v>-2</v>
      </c>
    </row>
    <row r="35" spans="1:3" x14ac:dyDescent="0.25">
      <c r="A35" s="2" t="s">
        <v>28</v>
      </c>
      <c r="B35" s="2" t="str">
        <f t="shared" si="1"/>
        <v>Information</v>
      </c>
      <c r="C35" s="2">
        <v>-1</v>
      </c>
    </row>
    <row r="37" spans="1:3" x14ac:dyDescent="0.25">
      <c r="A37" s="39" t="s">
        <v>21</v>
      </c>
      <c r="B37" s="39"/>
      <c r="C37" s="39"/>
    </row>
    <row r="38" spans="1:3" x14ac:dyDescent="0.25">
      <c r="A38" s="2" t="s">
        <v>38</v>
      </c>
      <c r="B38" s="2" t="str">
        <f t="shared" ref="B38:B52" si="2">TRIM(A38)</f>
        <v>Transportation &amp; Warehousing</v>
      </c>
      <c r="C38" s="2">
        <v>7</v>
      </c>
    </row>
    <row r="39" spans="1:3" x14ac:dyDescent="0.25">
      <c r="A39" s="2" t="s">
        <v>7</v>
      </c>
      <c r="B39" s="2" t="str">
        <f t="shared" si="2"/>
        <v>Construction</v>
      </c>
      <c r="C39" s="2">
        <v>6</v>
      </c>
    </row>
    <row r="40" spans="1:3" x14ac:dyDescent="0.25">
      <c r="A40" s="2" t="s">
        <v>42</v>
      </c>
      <c r="B40" s="2" t="str">
        <f t="shared" si="2"/>
        <v>Arts, Entertainment &amp; Recreation</v>
      </c>
      <c r="C40" s="2">
        <v>5</v>
      </c>
    </row>
    <row r="41" spans="1:3" x14ac:dyDescent="0.25">
      <c r="A41" s="2" t="s">
        <v>6</v>
      </c>
      <c r="B41" s="2" t="str">
        <f t="shared" si="2"/>
        <v>Wholesale Trade</v>
      </c>
      <c r="C41" s="2">
        <v>4</v>
      </c>
    </row>
    <row r="42" spans="1:3" x14ac:dyDescent="0.25">
      <c r="A42" s="2" t="s">
        <v>2</v>
      </c>
      <c r="B42" s="2" t="str">
        <f t="shared" si="2"/>
        <v>Health Care &amp; Social Assistance</v>
      </c>
      <c r="C42" s="2">
        <v>3</v>
      </c>
    </row>
    <row r="43" spans="1:3" x14ac:dyDescent="0.25">
      <c r="A43" s="2" t="s">
        <v>32</v>
      </c>
      <c r="B43" s="2" t="str">
        <f t="shared" si="2"/>
        <v>Professional, Scientific &amp; Technical Services</v>
      </c>
      <c r="C43" s="2">
        <v>2</v>
      </c>
    </row>
    <row r="44" spans="1:3" x14ac:dyDescent="0.25">
      <c r="A44" s="2" t="s">
        <v>27</v>
      </c>
      <c r="B44" s="2" t="str">
        <f t="shared" si="2"/>
        <v>Educational Services</v>
      </c>
      <c r="C44" s="2">
        <v>1</v>
      </c>
    </row>
    <row r="45" spans="1:3" x14ac:dyDescent="0.25">
      <c r="A45" s="2" t="s">
        <v>29</v>
      </c>
      <c r="B45" s="2" t="str">
        <f t="shared" si="2"/>
        <v>Real Estate, Rental &amp; Leasing</v>
      </c>
      <c r="C45" s="2">
        <v>-8</v>
      </c>
    </row>
    <row r="46" spans="1:3" x14ac:dyDescent="0.25">
      <c r="A46" s="2" t="s">
        <v>13</v>
      </c>
      <c r="B46" s="2" t="str">
        <f t="shared" si="2"/>
        <v>Agriculture, Forestry, Fishing &amp; Hunting</v>
      </c>
      <c r="C46" s="2">
        <v>-7</v>
      </c>
    </row>
    <row r="47" spans="1:3" x14ac:dyDescent="0.25">
      <c r="A47" s="2" t="s">
        <v>10</v>
      </c>
      <c r="B47" s="2" t="str">
        <f t="shared" si="2"/>
        <v>Public Administration</v>
      </c>
      <c r="C47" s="2">
        <v>-6</v>
      </c>
    </row>
    <row r="48" spans="1:3" x14ac:dyDescent="0.25">
      <c r="A48" s="2" t="s">
        <v>3</v>
      </c>
      <c r="B48" s="2" t="str">
        <f t="shared" si="2"/>
        <v>Utilities</v>
      </c>
      <c r="C48" s="2">
        <v>-5</v>
      </c>
    </row>
    <row r="49" spans="1:3" x14ac:dyDescent="0.25">
      <c r="A49" s="2" t="s">
        <v>8</v>
      </c>
      <c r="B49" s="2" t="str">
        <f t="shared" si="2"/>
        <v>Retail Trade</v>
      </c>
      <c r="C49" s="2">
        <v>-4</v>
      </c>
    </row>
    <row r="50" spans="1:3" x14ac:dyDescent="0.25">
      <c r="A50" s="2" t="s">
        <v>22</v>
      </c>
      <c r="B50" s="2" t="str">
        <f t="shared" si="2"/>
        <v>Other Services</v>
      </c>
      <c r="C50" s="2">
        <v>-3</v>
      </c>
    </row>
    <row r="51" spans="1:3" x14ac:dyDescent="0.25">
      <c r="A51" s="2" t="s">
        <v>11</v>
      </c>
      <c r="B51" s="2" t="str">
        <f t="shared" si="2"/>
        <v>Finance &amp; Insurance</v>
      </c>
      <c r="C51" s="2">
        <v>-2</v>
      </c>
    </row>
    <row r="52" spans="1:3" x14ac:dyDescent="0.25">
      <c r="A52" s="2" t="s">
        <v>28</v>
      </c>
      <c r="B52" s="2" t="str">
        <f t="shared" si="2"/>
        <v>Information</v>
      </c>
      <c r="C52" s="2">
        <v>-1</v>
      </c>
    </row>
    <row r="54" spans="1:3" x14ac:dyDescent="0.25">
      <c r="A54" s="39" t="s">
        <v>24</v>
      </c>
      <c r="B54" s="39"/>
      <c r="C54" s="39"/>
    </row>
    <row r="55" spans="1:3" x14ac:dyDescent="0.25">
      <c r="A55" s="2" t="s">
        <v>29</v>
      </c>
      <c r="B55" s="2" t="str">
        <f t="shared" ref="B55:B70" si="3">TRIM(A55)</f>
        <v>Real Estate, Rental &amp; Leasing</v>
      </c>
      <c r="C55" s="2">
        <v>-16</v>
      </c>
    </row>
    <row r="56" spans="1:3" x14ac:dyDescent="0.25">
      <c r="A56" s="2" t="s">
        <v>17</v>
      </c>
      <c r="B56" s="2" t="str">
        <f t="shared" si="3"/>
        <v>Information</v>
      </c>
      <c r="C56" s="2">
        <v>-15</v>
      </c>
    </row>
    <row r="57" spans="1:3" x14ac:dyDescent="0.25">
      <c r="A57" s="2" t="s">
        <v>2</v>
      </c>
      <c r="B57" s="2" t="str">
        <f t="shared" si="3"/>
        <v>Health Care &amp; Social Assistance</v>
      </c>
      <c r="C57" s="2">
        <v>-14</v>
      </c>
    </row>
    <row r="58" spans="1:3" x14ac:dyDescent="0.25">
      <c r="A58" s="2" t="s">
        <v>7</v>
      </c>
      <c r="B58" s="2" t="str">
        <f t="shared" si="3"/>
        <v>Construction</v>
      </c>
      <c r="C58" s="2">
        <v>-13</v>
      </c>
    </row>
    <row r="59" spans="1:3" x14ac:dyDescent="0.25">
      <c r="A59" s="2" t="s">
        <v>4</v>
      </c>
      <c r="B59" s="2" t="str">
        <f t="shared" si="3"/>
        <v>Accommodation &amp; Food Services</v>
      </c>
      <c r="C59" s="2">
        <v>-12</v>
      </c>
    </row>
    <row r="60" spans="1:3" x14ac:dyDescent="0.25">
      <c r="A60" s="2" t="s">
        <v>5</v>
      </c>
      <c r="B60" s="2" t="str">
        <f t="shared" si="3"/>
        <v>Transportation &amp; Warehousing</v>
      </c>
      <c r="C60" s="2">
        <v>-11</v>
      </c>
    </row>
    <row r="61" spans="1:3" x14ac:dyDescent="0.25">
      <c r="A61" s="2" t="s">
        <v>13</v>
      </c>
      <c r="B61" s="2" t="str">
        <f t="shared" si="3"/>
        <v>Agriculture, Forestry, Fishing &amp; Hunting</v>
      </c>
      <c r="C61" s="2">
        <v>-10</v>
      </c>
    </row>
    <row r="62" spans="1:3" x14ac:dyDescent="0.25">
      <c r="A62" s="2" t="s">
        <v>8</v>
      </c>
      <c r="B62" s="2" t="str">
        <f t="shared" si="3"/>
        <v>Retail Trade</v>
      </c>
      <c r="C62" s="2">
        <v>-9</v>
      </c>
    </row>
    <row r="63" spans="1:3" x14ac:dyDescent="0.25">
      <c r="A63" s="2" t="s">
        <v>3</v>
      </c>
      <c r="B63" s="2" t="str">
        <f t="shared" si="3"/>
        <v>Utilities</v>
      </c>
      <c r="C63" s="2">
        <v>-8</v>
      </c>
    </row>
    <row r="64" spans="1:3" x14ac:dyDescent="0.25">
      <c r="A64" s="2" t="s">
        <v>10</v>
      </c>
      <c r="B64" s="2" t="str">
        <f t="shared" si="3"/>
        <v>Public Administration</v>
      </c>
      <c r="C64" s="2">
        <v>-7</v>
      </c>
    </row>
    <row r="65" spans="1:3" x14ac:dyDescent="0.25">
      <c r="A65" s="2" t="s">
        <v>12</v>
      </c>
      <c r="B65" s="2" t="str">
        <f t="shared" si="3"/>
        <v>Educational Services</v>
      </c>
      <c r="C65" s="2">
        <v>-6</v>
      </c>
    </row>
    <row r="66" spans="1:3" x14ac:dyDescent="0.25">
      <c r="A66" s="2" t="s">
        <v>6</v>
      </c>
      <c r="B66" s="2" t="str">
        <f t="shared" si="3"/>
        <v>Wholesale Trade</v>
      </c>
      <c r="C66" s="2">
        <v>-5</v>
      </c>
    </row>
    <row r="67" spans="1:3" x14ac:dyDescent="0.25">
      <c r="A67" s="2" t="s">
        <v>11</v>
      </c>
      <c r="B67" s="2" t="str">
        <f t="shared" si="3"/>
        <v>Finance &amp; Insurance</v>
      </c>
      <c r="C67" s="2">
        <v>-4</v>
      </c>
    </row>
    <row r="68" spans="1:3" x14ac:dyDescent="0.25">
      <c r="A68" s="2" t="s">
        <v>9</v>
      </c>
      <c r="B68" s="2" t="str">
        <f t="shared" si="3"/>
        <v>Management of Companies &amp; Support Services</v>
      </c>
      <c r="C68" s="2">
        <v>-3</v>
      </c>
    </row>
    <row r="69" spans="1:3" x14ac:dyDescent="0.25">
      <c r="A69" s="2" t="s">
        <v>22</v>
      </c>
      <c r="B69" s="2" t="str">
        <f t="shared" si="3"/>
        <v>Other Services</v>
      </c>
      <c r="C69" s="2">
        <v>-2</v>
      </c>
    </row>
    <row r="70" spans="1:3" x14ac:dyDescent="0.25">
      <c r="A70" s="2" t="s">
        <v>15</v>
      </c>
      <c r="B70" s="2" t="str">
        <f t="shared" si="3"/>
        <v>Professional, Scientific &amp; Technical Services</v>
      </c>
      <c r="C70" s="2">
        <v>-1</v>
      </c>
    </row>
    <row r="72" spans="1:3" x14ac:dyDescent="0.25">
      <c r="A72" s="39" t="s">
        <v>26</v>
      </c>
      <c r="B72" s="39"/>
      <c r="C72" s="39"/>
    </row>
    <row r="73" spans="1:3" x14ac:dyDescent="0.25">
      <c r="A73" s="2" t="s">
        <v>41</v>
      </c>
      <c r="B73" s="2" t="str">
        <f t="shared" ref="B73:B88" si="4">TRIM(A73)</f>
        <v>Management of Companies &amp; Support Services</v>
      </c>
      <c r="C73" s="2">
        <v>9</v>
      </c>
    </row>
    <row r="74" spans="1:3" x14ac:dyDescent="0.25">
      <c r="A74" s="2" t="s">
        <v>12</v>
      </c>
      <c r="B74" s="2" t="str">
        <f t="shared" si="4"/>
        <v>Educational Services</v>
      </c>
      <c r="C74" s="2">
        <v>8</v>
      </c>
    </row>
    <row r="75" spans="1:3" x14ac:dyDescent="0.25">
      <c r="A75" s="2" t="s">
        <v>5</v>
      </c>
      <c r="B75" s="2" t="str">
        <f t="shared" si="4"/>
        <v>Transportation &amp; Warehousing</v>
      </c>
      <c r="C75" s="2">
        <v>7</v>
      </c>
    </row>
    <row r="76" spans="1:3" x14ac:dyDescent="0.25">
      <c r="A76" s="2" t="s">
        <v>6</v>
      </c>
      <c r="B76" s="2" t="str">
        <f t="shared" si="4"/>
        <v>Wholesale Trade</v>
      </c>
      <c r="C76" s="2">
        <v>6</v>
      </c>
    </row>
    <row r="77" spans="1:3" x14ac:dyDescent="0.25">
      <c r="A77" s="2" t="s">
        <v>11</v>
      </c>
      <c r="B77" s="2" t="str">
        <f t="shared" si="4"/>
        <v>Finance &amp; Insurance</v>
      </c>
      <c r="C77" s="2">
        <v>5</v>
      </c>
    </row>
    <row r="78" spans="1:3" x14ac:dyDescent="0.25">
      <c r="A78" s="2" t="s">
        <v>3</v>
      </c>
      <c r="B78" s="2" t="str">
        <f t="shared" si="4"/>
        <v>Utilities</v>
      </c>
      <c r="C78" s="2">
        <v>4</v>
      </c>
    </row>
    <row r="79" spans="1:3" x14ac:dyDescent="0.25">
      <c r="A79" s="2" t="s">
        <v>2</v>
      </c>
      <c r="B79" s="2" t="str">
        <f t="shared" si="4"/>
        <v>Health Care &amp; Social Assistance</v>
      </c>
      <c r="C79" s="2">
        <v>3</v>
      </c>
    </row>
    <row r="80" spans="1:3" x14ac:dyDescent="0.25">
      <c r="A80" s="2" t="s">
        <v>17</v>
      </c>
      <c r="B80" s="2" t="str">
        <f t="shared" si="4"/>
        <v>Information</v>
      </c>
      <c r="C80" s="2">
        <v>2</v>
      </c>
    </row>
    <row r="81" spans="1:3" x14ac:dyDescent="0.25">
      <c r="A81" s="2" t="s">
        <v>34</v>
      </c>
      <c r="B81" s="2" t="str">
        <f t="shared" si="4"/>
        <v>Public Administration</v>
      </c>
      <c r="C81" s="2">
        <v>1</v>
      </c>
    </row>
    <row r="82" spans="1:3" x14ac:dyDescent="0.25">
      <c r="A82" s="2" t="s">
        <v>1</v>
      </c>
      <c r="B82" s="2" t="str">
        <f t="shared" si="4"/>
        <v>Arts, Entertainment &amp; Recreation</v>
      </c>
      <c r="C82" s="2">
        <v>-7</v>
      </c>
    </row>
    <row r="83" spans="1:3" x14ac:dyDescent="0.25">
      <c r="A83" s="2" t="s">
        <v>7</v>
      </c>
      <c r="B83" s="2" t="str">
        <f t="shared" si="4"/>
        <v>Construction</v>
      </c>
      <c r="C83" s="2">
        <v>-6</v>
      </c>
    </row>
    <row r="84" spans="1:3" x14ac:dyDescent="0.25">
      <c r="A84" s="2" t="s">
        <v>33</v>
      </c>
      <c r="B84" s="2" t="str">
        <f t="shared" si="4"/>
        <v>Mining</v>
      </c>
      <c r="C84" s="2">
        <v>-5</v>
      </c>
    </row>
    <row r="85" spans="1:3" x14ac:dyDescent="0.25">
      <c r="A85" s="2" t="s">
        <v>4</v>
      </c>
      <c r="B85" s="2" t="str">
        <f t="shared" si="4"/>
        <v>Accommodation &amp; Food Services</v>
      </c>
      <c r="C85" s="2">
        <v>-4</v>
      </c>
    </row>
    <row r="86" spans="1:3" x14ac:dyDescent="0.25">
      <c r="A86" s="2" t="s">
        <v>8</v>
      </c>
      <c r="B86" s="2" t="str">
        <f t="shared" si="4"/>
        <v>Retail Trade</v>
      </c>
      <c r="C86" s="2">
        <v>-3</v>
      </c>
    </row>
    <row r="87" spans="1:3" x14ac:dyDescent="0.25">
      <c r="A87" s="2" t="s">
        <v>13</v>
      </c>
      <c r="B87" s="2" t="str">
        <f t="shared" si="4"/>
        <v>Agriculture, Forestry, Fishing &amp; Hunting</v>
      </c>
      <c r="C87" s="2">
        <v>-2</v>
      </c>
    </row>
    <row r="88" spans="1:3" x14ac:dyDescent="0.25">
      <c r="A88" s="2" t="s">
        <v>15</v>
      </c>
      <c r="B88" s="2" t="str">
        <f t="shared" si="4"/>
        <v>Professional, Scientific &amp; Technical Services</v>
      </c>
      <c r="C88" s="2">
        <v>-1</v>
      </c>
    </row>
    <row r="90" spans="1:3" x14ac:dyDescent="0.25">
      <c r="A90" s="39" t="s">
        <v>30</v>
      </c>
      <c r="B90" s="39"/>
      <c r="C90" s="39"/>
    </row>
    <row r="91" spans="1:3" x14ac:dyDescent="0.25">
      <c r="A91" s="2" t="s">
        <v>20</v>
      </c>
      <c r="B91" s="2" t="str">
        <f t="shared" ref="B91:B108" si="5">TRIM(A91)</f>
        <v>Construction</v>
      </c>
      <c r="C91" s="2">
        <v>18</v>
      </c>
    </row>
    <row r="92" spans="1:3" x14ac:dyDescent="0.25">
      <c r="A92" s="2" t="s">
        <v>6</v>
      </c>
      <c r="B92" s="2" t="str">
        <f t="shared" si="5"/>
        <v>Wholesale Trade</v>
      </c>
      <c r="C92" s="2">
        <v>17</v>
      </c>
    </row>
    <row r="93" spans="1:3" x14ac:dyDescent="0.25">
      <c r="A93" s="2" t="s">
        <v>9</v>
      </c>
      <c r="B93" s="2" t="str">
        <f t="shared" si="5"/>
        <v>Management of Companies &amp; Support Services</v>
      </c>
      <c r="C93" s="2">
        <v>16</v>
      </c>
    </row>
    <row r="94" spans="1:3" x14ac:dyDescent="0.25">
      <c r="A94" s="2" t="s">
        <v>12</v>
      </c>
      <c r="B94" s="2" t="str">
        <f t="shared" si="5"/>
        <v>Educational Services</v>
      </c>
      <c r="C94" s="2">
        <v>15</v>
      </c>
    </row>
    <row r="95" spans="1:3" x14ac:dyDescent="0.25">
      <c r="A95" s="2" t="s">
        <v>3</v>
      </c>
      <c r="B95" s="2" t="str">
        <f t="shared" si="5"/>
        <v>Utilities</v>
      </c>
      <c r="C95" s="2">
        <v>14</v>
      </c>
    </row>
    <row r="96" spans="1:3" x14ac:dyDescent="0.25">
      <c r="A96" s="2" t="s">
        <v>10</v>
      </c>
      <c r="B96" s="2" t="str">
        <f t="shared" si="5"/>
        <v>Public Administration</v>
      </c>
      <c r="C96" s="2">
        <v>13</v>
      </c>
    </row>
    <row r="97" spans="1:3" x14ac:dyDescent="0.25">
      <c r="A97" s="2" t="s">
        <v>13</v>
      </c>
      <c r="B97" s="2" t="str">
        <f t="shared" si="5"/>
        <v>Agriculture, Forestry, Fishing &amp; Hunting</v>
      </c>
      <c r="C97" s="2">
        <v>12</v>
      </c>
    </row>
    <row r="98" spans="1:3" x14ac:dyDescent="0.25">
      <c r="A98" s="2" t="s">
        <v>42</v>
      </c>
      <c r="B98" s="2" t="str">
        <f t="shared" si="5"/>
        <v>Arts, Entertainment &amp; Recreation</v>
      </c>
      <c r="C98" s="2">
        <v>11</v>
      </c>
    </row>
    <row r="99" spans="1:3" x14ac:dyDescent="0.25">
      <c r="A99" s="2" t="s">
        <v>33</v>
      </c>
      <c r="B99" s="2" t="str">
        <f t="shared" si="5"/>
        <v>Mining</v>
      </c>
      <c r="C99" s="2">
        <v>10</v>
      </c>
    </row>
    <row r="100" spans="1:3" x14ac:dyDescent="0.25">
      <c r="A100" s="2" t="s">
        <v>5</v>
      </c>
      <c r="B100" s="2" t="str">
        <f t="shared" si="5"/>
        <v>Transportation &amp; Warehousing</v>
      </c>
      <c r="C100" s="2">
        <v>9</v>
      </c>
    </row>
    <row r="101" spans="1:3" x14ac:dyDescent="0.25">
      <c r="A101" s="2" t="s">
        <v>17</v>
      </c>
      <c r="B101" s="2" t="str">
        <f t="shared" si="5"/>
        <v>Information</v>
      </c>
      <c r="C101" s="2">
        <v>8</v>
      </c>
    </row>
    <row r="102" spans="1:3" x14ac:dyDescent="0.25">
      <c r="A102" s="2" t="s">
        <v>11</v>
      </c>
      <c r="B102" s="2" t="str">
        <f t="shared" si="5"/>
        <v>Finance &amp; Insurance</v>
      </c>
      <c r="C102" s="2">
        <v>7</v>
      </c>
    </row>
    <row r="103" spans="1:3" x14ac:dyDescent="0.25">
      <c r="A103" s="2" t="s">
        <v>14</v>
      </c>
      <c r="B103" s="2" t="str">
        <f t="shared" si="5"/>
        <v>Real Estate, Rental &amp; Leasing</v>
      </c>
      <c r="C103" s="2">
        <v>6</v>
      </c>
    </row>
    <row r="104" spans="1:3" x14ac:dyDescent="0.25">
      <c r="A104" s="2" t="s">
        <v>22</v>
      </c>
      <c r="B104" s="2" t="str">
        <f t="shared" si="5"/>
        <v>Other Services</v>
      </c>
      <c r="C104" s="2">
        <v>5</v>
      </c>
    </row>
    <row r="105" spans="1:3" x14ac:dyDescent="0.25">
      <c r="A105" s="2" t="s">
        <v>32</v>
      </c>
      <c r="B105" s="2" t="str">
        <f t="shared" si="5"/>
        <v>Professional, Scientific &amp; Technical Services</v>
      </c>
      <c r="C105" s="2">
        <v>4</v>
      </c>
    </row>
    <row r="106" spans="1:3" x14ac:dyDescent="0.25">
      <c r="A106" s="2" t="s">
        <v>2</v>
      </c>
      <c r="B106" s="2" t="str">
        <f t="shared" si="5"/>
        <v>Health Care &amp; Social Assistance</v>
      </c>
      <c r="C106" s="2">
        <v>3</v>
      </c>
    </row>
    <row r="107" spans="1:3" x14ac:dyDescent="0.25">
      <c r="A107" s="2" t="s">
        <v>4</v>
      </c>
      <c r="B107" s="2" t="str">
        <f t="shared" si="5"/>
        <v>Accommodation &amp; Food Services</v>
      </c>
      <c r="C107" s="2">
        <v>2</v>
      </c>
    </row>
    <row r="108" spans="1:3" x14ac:dyDescent="0.25">
      <c r="A108" s="2" t="s">
        <v>25</v>
      </c>
      <c r="B108" s="2" t="str">
        <f t="shared" si="5"/>
        <v>Retail Trade</v>
      </c>
      <c r="C108" s="2">
        <v>1</v>
      </c>
    </row>
    <row r="110" spans="1:3" x14ac:dyDescent="0.25">
      <c r="A110" s="39" t="s">
        <v>3818</v>
      </c>
      <c r="B110" s="39"/>
      <c r="C110" s="39"/>
    </row>
    <row r="111" spans="1:3" x14ac:dyDescent="0.25">
      <c r="A111" s="2" t="s">
        <v>41</v>
      </c>
      <c r="B111" s="2" t="str">
        <f t="shared" ref="B111:B127" si="6">TRIM(A111)</f>
        <v>Management of Companies &amp; Support Services</v>
      </c>
      <c r="C111" s="2">
        <v>13</v>
      </c>
    </row>
    <row r="112" spans="1:3" x14ac:dyDescent="0.25">
      <c r="A112" s="2" t="s">
        <v>12</v>
      </c>
      <c r="B112" s="2" t="str">
        <f t="shared" si="6"/>
        <v>Educational Services</v>
      </c>
      <c r="C112" s="2">
        <v>12</v>
      </c>
    </row>
    <row r="113" spans="1:3" x14ac:dyDescent="0.25">
      <c r="A113" s="2" t="s">
        <v>5</v>
      </c>
      <c r="B113" s="2" t="str">
        <f t="shared" si="6"/>
        <v>Transportation &amp; Warehousing</v>
      </c>
      <c r="C113" s="2">
        <v>11</v>
      </c>
    </row>
    <row r="114" spans="1:3" x14ac:dyDescent="0.25">
      <c r="A114" s="2" t="s">
        <v>33</v>
      </c>
      <c r="B114" s="2" t="str">
        <f t="shared" si="6"/>
        <v>Mining</v>
      </c>
      <c r="C114" s="2">
        <v>10</v>
      </c>
    </row>
    <row r="115" spans="1:3" x14ac:dyDescent="0.25">
      <c r="A115" s="2" t="s">
        <v>6</v>
      </c>
      <c r="B115" s="2" t="str">
        <f t="shared" si="6"/>
        <v>Wholesale Trade</v>
      </c>
      <c r="C115" s="2">
        <v>9</v>
      </c>
    </row>
    <row r="116" spans="1:3" x14ac:dyDescent="0.25">
      <c r="A116" s="2" t="s">
        <v>11</v>
      </c>
      <c r="B116" s="2" t="str">
        <f t="shared" si="6"/>
        <v>Finance &amp; Insurance</v>
      </c>
      <c r="C116" s="2">
        <v>8</v>
      </c>
    </row>
    <row r="117" spans="1:3" x14ac:dyDescent="0.25">
      <c r="A117" s="2" t="s">
        <v>7</v>
      </c>
      <c r="B117" s="2" t="str">
        <f t="shared" si="6"/>
        <v>Construction</v>
      </c>
      <c r="C117" s="2">
        <v>7</v>
      </c>
    </row>
    <row r="118" spans="1:3" x14ac:dyDescent="0.25">
      <c r="A118" s="2" t="s">
        <v>10</v>
      </c>
      <c r="B118" s="2" t="str">
        <f t="shared" si="6"/>
        <v>Public Administration</v>
      </c>
      <c r="C118" s="2">
        <v>6</v>
      </c>
    </row>
    <row r="119" spans="1:3" x14ac:dyDescent="0.25">
      <c r="A119" s="2" t="s">
        <v>3</v>
      </c>
      <c r="B119" s="2" t="str">
        <f t="shared" si="6"/>
        <v>Utilities</v>
      </c>
      <c r="C119" s="2">
        <v>5</v>
      </c>
    </row>
    <row r="120" spans="1:3" x14ac:dyDescent="0.25">
      <c r="A120" s="2" t="s">
        <v>32</v>
      </c>
      <c r="B120" s="2" t="str">
        <f t="shared" si="6"/>
        <v>Professional, Scientific &amp; Technical Services</v>
      </c>
      <c r="C120" s="2">
        <v>4</v>
      </c>
    </row>
    <row r="121" spans="1:3" x14ac:dyDescent="0.25">
      <c r="A121" s="2" t="s">
        <v>22</v>
      </c>
      <c r="B121" s="2" t="str">
        <f t="shared" si="6"/>
        <v>Other Services</v>
      </c>
      <c r="C121" s="2">
        <v>3</v>
      </c>
    </row>
    <row r="122" spans="1:3" x14ac:dyDescent="0.25">
      <c r="A122" s="2" t="s">
        <v>8</v>
      </c>
      <c r="B122" s="2" t="str">
        <f t="shared" si="6"/>
        <v>Retail Trade</v>
      </c>
      <c r="C122" s="2">
        <v>2</v>
      </c>
    </row>
    <row r="123" spans="1:3" x14ac:dyDescent="0.25">
      <c r="A123" s="2" t="s">
        <v>43</v>
      </c>
      <c r="B123" s="2" t="str">
        <f t="shared" si="6"/>
        <v>Health Care &amp; Social Assistance</v>
      </c>
      <c r="C123" s="2">
        <v>1</v>
      </c>
    </row>
    <row r="124" spans="1:3" x14ac:dyDescent="0.25">
      <c r="A124" s="2" t="s">
        <v>29</v>
      </c>
      <c r="B124" s="2" t="str">
        <f t="shared" si="6"/>
        <v>Real Estate, Rental &amp; Leasing</v>
      </c>
      <c r="C124" s="2">
        <v>-4</v>
      </c>
    </row>
    <row r="125" spans="1:3" x14ac:dyDescent="0.25">
      <c r="A125" s="2" t="s">
        <v>42</v>
      </c>
      <c r="B125" s="2" t="str">
        <f t="shared" si="6"/>
        <v>Arts, Entertainment &amp; Recreation</v>
      </c>
      <c r="C125" s="2">
        <v>-3</v>
      </c>
    </row>
    <row r="126" spans="1:3" x14ac:dyDescent="0.25">
      <c r="A126" s="2" t="s">
        <v>13</v>
      </c>
      <c r="B126" s="2" t="str">
        <f t="shared" si="6"/>
        <v>Agriculture, Forestry, Fishing &amp; Hunting</v>
      </c>
      <c r="C126" s="2">
        <v>-2</v>
      </c>
    </row>
    <row r="127" spans="1:3" x14ac:dyDescent="0.25">
      <c r="A127" s="2" t="s">
        <v>31</v>
      </c>
      <c r="B127" s="2" t="str">
        <f t="shared" si="6"/>
        <v>Accommodation &amp; Food Services</v>
      </c>
      <c r="C127" s="2">
        <v>-1</v>
      </c>
    </row>
  </sheetData>
  <mergeCells count="7">
    <mergeCell ref="A110:C110"/>
    <mergeCell ref="A90:C90"/>
    <mergeCell ref="A1:C1"/>
    <mergeCell ref="A21:C21"/>
    <mergeCell ref="A37:C37"/>
    <mergeCell ref="A54:C54"/>
    <mergeCell ref="A72:C7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946D7-7538-46C6-8514-84EA61505E5D}">
  <dimension ref="A1:F127"/>
  <sheetViews>
    <sheetView workbookViewId="0">
      <selection activeCell="E21" sqref="E21"/>
    </sheetView>
  </sheetViews>
  <sheetFormatPr defaultRowHeight="15" x14ac:dyDescent="0.25"/>
  <cols>
    <col min="1" max="1" width="43.85546875" bestFit="1" customWidth="1"/>
    <col min="2" max="2" width="43.42578125" bestFit="1" customWidth="1"/>
    <col min="5" max="5" width="43.42578125" bestFit="1" customWidth="1"/>
    <col min="6" max="6" width="227.85546875" bestFit="1" customWidth="1"/>
    <col min="7" max="7" width="9.140625" customWidth="1"/>
  </cols>
  <sheetData>
    <row r="1" spans="1:6" x14ac:dyDescent="0.25">
      <c r="A1" s="39" t="s">
        <v>0</v>
      </c>
      <c r="B1" s="39"/>
      <c r="C1" s="39"/>
    </row>
    <row r="2" spans="1:6" x14ac:dyDescent="0.25">
      <c r="A2" s="2" t="s">
        <v>27</v>
      </c>
      <c r="B2" s="2" t="str">
        <f>TRIM(A2)</f>
        <v>Educational Services</v>
      </c>
      <c r="C2" s="2">
        <v>17</v>
      </c>
    </row>
    <row r="3" spans="1:6" x14ac:dyDescent="0.25">
      <c r="A3" s="2" t="s">
        <v>42</v>
      </c>
      <c r="B3" s="2" t="str">
        <f t="shared" ref="B3:B19" si="0">TRIM(A3)</f>
        <v>Arts, Entertainment &amp; Recreation</v>
      </c>
      <c r="C3" s="2">
        <v>16</v>
      </c>
      <c r="E3" s="38" t="s">
        <v>31</v>
      </c>
      <c r="F3" s="38" t="s">
        <v>3821</v>
      </c>
    </row>
    <row r="4" spans="1:6" x14ac:dyDescent="0.25">
      <c r="A4" s="2" t="s">
        <v>3</v>
      </c>
      <c r="B4" s="2" t="str">
        <f t="shared" si="0"/>
        <v>Utilities</v>
      </c>
      <c r="C4" s="2">
        <v>15</v>
      </c>
      <c r="E4" s="38" t="s">
        <v>35</v>
      </c>
      <c r="F4" s="38" t="s">
        <v>3822</v>
      </c>
    </row>
    <row r="5" spans="1:6" x14ac:dyDescent="0.25">
      <c r="A5" s="2" t="s">
        <v>7</v>
      </c>
      <c r="B5" s="2" t="str">
        <f t="shared" si="0"/>
        <v>Construction</v>
      </c>
      <c r="C5" s="2">
        <v>14</v>
      </c>
      <c r="E5" s="38" t="s">
        <v>27</v>
      </c>
      <c r="F5" s="38" t="s">
        <v>3823</v>
      </c>
    </row>
    <row r="6" spans="1:6" x14ac:dyDescent="0.25">
      <c r="A6" s="2" t="s">
        <v>6</v>
      </c>
      <c r="B6" s="2" t="str">
        <f t="shared" si="0"/>
        <v>Wholesale Trade</v>
      </c>
      <c r="C6" s="2">
        <v>13</v>
      </c>
      <c r="E6" s="38" t="s">
        <v>20</v>
      </c>
      <c r="F6" s="38" t="s">
        <v>3824</v>
      </c>
    </row>
    <row r="7" spans="1:6" x14ac:dyDescent="0.25">
      <c r="A7" s="2" t="s">
        <v>4</v>
      </c>
      <c r="B7" s="2" t="str">
        <f t="shared" si="0"/>
        <v>Accommodation &amp; Food Services</v>
      </c>
      <c r="C7" s="2">
        <v>12</v>
      </c>
      <c r="E7" s="38" t="s">
        <v>43</v>
      </c>
      <c r="F7" s="38" t="s">
        <v>3825</v>
      </c>
    </row>
    <row r="8" spans="1:6" x14ac:dyDescent="0.25">
      <c r="A8" s="2" t="s">
        <v>22</v>
      </c>
      <c r="B8" s="2" t="str">
        <f t="shared" si="0"/>
        <v>Other Services</v>
      </c>
      <c r="C8" s="2">
        <v>11</v>
      </c>
      <c r="E8" s="38" t="s">
        <v>28</v>
      </c>
      <c r="F8" s="38" t="s">
        <v>3826</v>
      </c>
    </row>
    <row r="9" spans="1:6" x14ac:dyDescent="0.25">
      <c r="A9" s="2" t="s">
        <v>14</v>
      </c>
      <c r="B9" s="2" t="str">
        <f t="shared" si="0"/>
        <v>Real Estate, Rental &amp; Leasing</v>
      </c>
      <c r="C9" s="2">
        <v>10</v>
      </c>
      <c r="E9" s="38" t="s">
        <v>41</v>
      </c>
      <c r="F9" s="38" t="s">
        <v>3827</v>
      </c>
    </row>
    <row r="10" spans="1:6" x14ac:dyDescent="0.25">
      <c r="A10" s="2" t="s">
        <v>17</v>
      </c>
      <c r="B10" s="2" t="str">
        <f t="shared" si="0"/>
        <v>Information</v>
      </c>
      <c r="C10" s="2">
        <v>9</v>
      </c>
      <c r="E10" s="38" t="s">
        <v>34</v>
      </c>
      <c r="F10" s="38" t="s">
        <v>3828</v>
      </c>
    </row>
    <row r="11" spans="1:6" x14ac:dyDescent="0.25">
      <c r="A11" s="2" t="s">
        <v>5</v>
      </c>
      <c r="B11" s="2" t="str">
        <f t="shared" si="0"/>
        <v>Transportation &amp; Warehousing</v>
      </c>
      <c r="C11" s="2">
        <v>8</v>
      </c>
      <c r="E11" s="38" t="s">
        <v>25</v>
      </c>
      <c r="F11" s="38" t="s">
        <v>3829</v>
      </c>
    </row>
    <row r="12" spans="1:6" x14ac:dyDescent="0.25">
      <c r="A12" s="2" t="s">
        <v>10</v>
      </c>
      <c r="B12" s="2" t="str">
        <f t="shared" si="0"/>
        <v>Public Administration</v>
      </c>
      <c r="C12" s="2">
        <v>7</v>
      </c>
      <c r="E12" s="38" t="s">
        <v>40</v>
      </c>
      <c r="F12" s="38" t="s">
        <v>3830</v>
      </c>
    </row>
    <row r="13" spans="1:6" x14ac:dyDescent="0.25">
      <c r="A13" s="2" t="s">
        <v>8</v>
      </c>
      <c r="B13" s="2" t="str">
        <f t="shared" si="0"/>
        <v>Retail Trade</v>
      </c>
      <c r="C13" s="2">
        <v>6</v>
      </c>
      <c r="E13" s="38" t="s">
        <v>36</v>
      </c>
      <c r="F13" s="38" t="s">
        <v>3831</v>
      </c>
    </row>
    <row r="14" spans="1:6" x14ac:dyDescent="0.25">
      <c r="A14" s="2" t="s">
        <v>9</v>
      </c>
      <c r="B14" s="2" t="str">
        <f t="shared" si="0"/>
        <v>Management of Companies &amp; Support Services</v>
      </c>
      <c r="C14" s="2">
        <v>5</v>
      </c>
    </row>
    <row r="15" spans="1:6" x14ac:dyDescent="0.25">
      <c r="A15" s="2" t="s">
        <v>11</v>
      </c>
      <c r="B15" s="2" t="str">
        <f t="shared" si="0"/>
        <v>Finance &amp; Insurance</v>
      </c>
      <c r="C15" s="2">
        <v>4</v>
      </c>
    </row>
    <row r="16" spans="1:6" x14ac:dyDescent="0.25">
      <c r="A16" s="2" t="s">
        <v>32</v>
      </c>
      <c r="B16" s="2" t="str">
        <f t="shared" si="0"/>
        <v>Professional, Scientific &amp; Technical Services</v>
      </c>
      <c r="C16" s="2">
        <v>3</v>
      </c>
    </row>
    <row r="17" spans="1:3" x14ac:dyDescent="0.25">
      <c r="A17" s="2" t="s">
        <v>33</v>
      </c>
      <c r="B17" s="2" t="str">
        <f t="shared" si="0"/>
        <v>Mining</v>
      </c>
      <c r="C17" s="2">
        <v>2</v>
      </c>
    </row>
    <row r="18" spans="1:3" x14ac:dyDescent="0.25">
      <c r="A18" s="2" t="s">
        <v>43</v>
      </c>
      <c r="B18" s="2" t="str">
        <f t="shared" si="0"/>
        <v>Health Care &amp; Social Assistance</v>
      </c>
      <c r="C18" s="2">
        <v>1</v>
      </c>
    </row>
    <row r="19" spans="1:3" x14ac:dyDescent="0.25">
      <c r="A19" s="2" t="s">
        <v>35</v>
      </c>
      <c r="B19" s="2" t="str">
        <f t="shared" si="0"/>
        <v>Agriculture, Forestry, Fishing &amp; Hunting</v>
      </c>
      <c r="C19" s="2">
        <v>0</v>
      </c>
    </row>
    <row r="21" spans="1:3" x14ac:dyDescent="0.25">
      <c r="A21" s="39" t="s">
        <v>19</v>
      </c>
      <c r="B21" s="39"/>
      <c r="C21" s="39"/>
    </row>
    <row r="22" spans="1:3" x14ac:dyDescent="0.25">
      <c r="A22" s="2" t="s">
        <v>1</v>
      </c>
      <c r="B22" s="2" t="str">
        <f t="shared" ref="B22:B38" si="1">TRIM(A22)</f>
        <v>Arts, Entertainment &amp; Recreation</v>
      </c>
      <c r="C22" s="2">
        <v>15</v>
      </c>
    </row>
    <row r="23" spans="1:3" x14ac:dyDescent="0.25">
      <c r="A23" s="2" t="s">
        <v>12</v>
      </c>
      <c r="B23" s="2" t="str">
        <f t="shared" si="1"/>
        <v>Educational Services</v>
      </c>
      <c r="C23" s="2">
        <v>14</v>
      </c>
    </row>
    <row r="24" spans="1:3" x14ac:dyDescent="0.25">
      <c r="A24" s="2" t="s">
        <v>6</v>
      </c>
      <c r="B24" s="2" t="str">
        <f t="shared" si="1"/>
        <v>Wholesale Trade</v>
      </c>
      <c r="C24" s="2">
        <v>13</v>
      </c>
    </row>
    <row r="25" spans="1:3" x14ac:dyDescent="0.25">
      <c r="A25" s="2" t="s">
        <v>9</v>
      </c>
      <c r="B25" s="2" t="str">
        <f t="shared" si="1"/>
        <v>Management of Companies &amp; Support Services</v>
      </c>
      <c r="C25" s="2">
        <v>12</v>
      </c>
    </row>
    <row r="26" spans="1:3" x14ac:dyDescent="0.25">
      <c r="A26" s="2" t="s">
        <v>14</v>
      </c>
      <c r="B26" s="2" t="str">
        <f t="shared" si="1"/>
        <v>Real Estate, Rental &amp; Leasing</v>
      </c>
      <c r="C26" s="2">
        <v>11</v>
      </c>
    </row>
    <row r="27" spans="1:3" x14ac:dyDescent="0.25">
      <c r="A27" s="2" t="s">
        <v>3</v>
      </c>
      <c r="B27" s="2" t="str">
        <f t="shared" si="1"/>
        <v>Utilities</v>
      </c>
      <c r="C27" s="2">
        <v>10</v>
      </c>
    </row>
    <row r="28" spans="1:3" x14ac:dyDescent="0.25">
      <c r="A28" s="2" t="s">
        <v>33</v>
      </c>
      <c r="B28" s="2" t="str">
        <f t="shared" si="1"/>
        <v>Mining</v>
      </c>
      <c r="C28" s="2">
        <v>9</v>
      </c>
    </row>
    <row r="29" spans="1:3" x14ac:dyDescent="0.25">
      <c r="A29" s="2" t="s">
        <v>22</v>
      </c>
      <c r="B29" s="2" t="str">
        <f t="shared" si="1"/>
        <v>Other Services</v>
      </c>
      <c r="C29" s="2">
        <v>8</v>
      </c>
    </row>
    <row r="30" spans="1:3" x14ac:dyDescent="0.25">
      <c r="A30" s="2" t="s">
        <v>7</v>
      </c>
      <c r="B30" s="2" t="str">
        <f t="shared" si="1"/>
        <v>Construction</v>
      </c>
      <c r="C30" s="2">
        <v>7</v>
      </c>
    </row>
    <row r="31" spans="1:3" x14ac:dyDescent="0.25">
      <c r="A31" s="2" t="s">
        <v>17</v>
      </c>
      <c r="B31" s="2" t="str">
        <f t="shared" si="1"/>
        <v>Information</v>
      </c>
      <c r="C31" s="2">
        <v>6</v>
      </c>
    </row>
    <row r="32" spans="1:3" x14ac:dyDescent="0.25">
      <c r="A32" s="2" t="s">
        <v>4</v>
      </c>
      <c r="B32" s="2" t="str">
        <f t="shared" si="1"/>
        <v>Accommodation &amp; Food Services</v>
      </c>
      <c r="C32" s="2">
        <v>5</v>
      </c>
    </row>
    <row r="33" spans="1:3" x14ac:dyDescent="0.25">
      <c r="A33" s="2" t="s">
        <v>32</v>
      </c>
      <c r="B33" s="2" t="str">
        <f t="shared" si="1"/>
        <v>Professional, Scientific &amp; Technical Services</v>
      </c>
      <c r="C33" s="2">
        <v>4</v>
      </c>
    </row>
    <row r="34" spans="1:3" x14ac:dyDescent="0.25">
      <c r="A34" s="2" t="s">
        <v>11</v>
      </c>
      <c r="B34" s="2" t="str">
        <f t="shared" si="1"/>
        <v>Finance &amp; Insurance</v>
      </c>
      <c r="C34" s="2">
        <v>3</v>
      </c>
    </row>
    <row r="35" spans="1:3" x14ac:dyDescent="0.25">
      <c r="A35" s="2" t="s">
        <v>10</v>
      </c>
      <c r="B35" s="2" t="str">
        <f t="shared" si="1"/>
        <v>Public Administration</v>
      </c>
      <c r="C35" s="2">
        <v>2</v>
      </c>
    </row>
    <row r="36" spans="1:3" x14ac:dyDescent="0.25">
      <c r="A36" s="2" t="s">
        <v>38</v>
      </c>
      <c r="B36" s="2" t="str">
        <f t="shared" si="1"/>
        <v>Transportation &amp; Warehousing</v>
      </c>
      <c r="C36" s="2">
        <v>1</v>
      </c>
    </row>
    <row r="37" spans="1:3" x14ac:dyDescent="0.25">
      <c r="A37" s="2" t="s">
        <v>35</v>
      </c>
      <c r="B37" s="2" t="str">
        <f t="shared" si="1"/>
        <v>Agriculture, Forestry, Fishing &amp; Hunting</v>
      </c>
      <c r="C37" s="2">
        <v>-2</v>
      </c>
    </row>
    <row r="38" spans="1:3" x14ac:dyDescent="0.25">
      <c r="A38" s="2" t="s">
        <v>43</v>
      </c>
      <c r="B38" s="2" t="str">
        <f t="shared" si="1"/>
        <v>Health Care &amp; Social Assistance</v>
      </c>
      <c r="C38" s="2">
        <v>-1</v>
      </c>
    </row>
    <row r="40" spans="1:3" x14ac:dyDescent="0.25">
      <c r="A40" s="39" t="s">
        <v>21</v>
      </c>
      <c r="B40" s="39"/>
      <c r="C40" s="39"/>
    </row>
    <row r="41" spans="1:3" x14ac:dyDescent="0.25">
      <c r="A41" s="2" t="s">
        <v>31</v>
      </c>
      <c r="B41" s="2" t="str">
        <f t="shared" ref="B41:B58" si="2">TRIM(A41)</f>
        <v>Accommodation &amp; Food Services</v>
      </c>
      <c r="C41" s="2">
        <v>13</v>
      </c>
    </row>
    <row r="42" spans="1:3" x14ac:dyDescent="0.25">
      <c r="A42" s="2" t="s">
        <v>42</v>
      </c>
      <c r="B42" s="2" t="str">
        <f t="shared" si="2"/>
        <v>Arts, Entertainment &amp; Recreation</v>
      </c>
      <c r="C42" s="2">
        <v>12</v>
      </c>
    </row>
    <row r="43" spans="1:3" x14ac:dyDescent="0.25">
      <c r="A43" s="2" t="s">
        <v>7</v>
      </c>
      <c r="B43" s="2" t="str">
        <f t="shared" si="2"/>
        <v>Construction</v>
      </c>
      <c r="C43" s="2">
        <v>11</v>
      </c>
    </row>
    <row r="44" spans="1:3" x14ac:dyDescent="0.25">
      <c r="A44" s="2" t="s">
        <v>5</v>
      </c>
      <c r="B44" s="2" t="str">
        <f t="shared" si="2"/>
        <v>Transportation &amp; Warehousing</v>
      </c>
      <c r="C44" s="2">
        <v>10</v>
      </c>
    </row>
    <row r="45" spans="1:3" x14ac:dyDescent="0.25">
      <c r="A45" s="2" t="s">
        <v>14</v>
      </c>
      <c r="B45" s="2" t="str">
        <f t="shared" si="2"/>
        <v>Real Estate, Rental &amp; Leasing</v>
      </c>
      <c r="C45" s="2">
        <v>9</v>
      </c>
    </row>
    <row r="46" spans="1:3" x14ac:dyDescent="0.25">
      <c r="A46" s="2" t="s">
        <v>12</v>
      </c>
      <c r="B46" s="2" t="str">
        <f t="shared" si="2"/>
        <v>Educational Services</v>
      </c>
      <c r="C46" s="2">
        <v>8</v>
      </c>
    </row>
    <row r="47" spans="1:3" x14ac:dyDescent="0.25">
      <c r="A47" s="2" t="s">
        <v>6</v>
      </c>
      <c r="B47" s="2" t="str">
        <f t="shared" si="2"/>
        <v>Wholesale Trade</v>
      </c>
      <c r="C47" s="2">
        <v>7</v>
      </c>
    </row>
    <row r="48" spans="1:3" x14ac:dyDescent="0.25">
      <c r="A48" s="2" t="s">
        <v>8</v>
      </c>
      <c r="B48" s="2" t="str">
        <f t="shared" si="2"/>
        <v>Retail Trade</v>
      </c>
      <c r="C48" s="2">
        <v>6</v>
      </c>
    </row>
    <row r="49" spans="1:3" x14ac:dyDescent="0.25">
      <c r="A49" s="2" t="s">
        <v>11</v>
      </c>
      <c r="B49" s="2" t="str">
        <f t="shared" si="2"/>
        <v>Finance &amp; Insurance</v>
      </c>
      <c r="C49" s="2">
        <v>5</v>
      </c>
    </row>
    <row r="50" spans="1:3" x14ac:dyDescent="0.25">
      <c r="A50" s="2" t="s">
        <v>32</v>
      </c>
      <c r="B50" s="2" t="str">
        <f t="shared" si="2"/>
        <v>Professional, Scientific &amp; Technical Services</v>
      </c>
      <c r="C50" s="2">
        <v>4</v>
      </c>
    </row>
    <row r="51" spans="1:3" x14ac:dyDescent="0.25">
      <c r="A51" s="2" t="s">
        <v>10</v>
      </c>
      <c r="B51" s="2" t="str">
        <f t="shared" si="2"/>
        <v>Public Administration</v>
      </c>
      <c r="C51" s="2">
        <v>3</v>
      </c>
    </row>
    <row r="52" spans="1:3" x14ac:dyDescent="0.25">
      <c r="A52" s="2" t="s">
        <v>3</v>
      </c>
      <c r="B52" s="2" t="str">
        <f t="shared" si="2"/>
        <v>Utilities</v>
      </c>
      <c r="C52" s="2">
        <v>2</v>
      </c>
    </row>
    <row r="53" spans="1:3" x14ac:dyDescent="0.25">
      <c r="A53" s="2" t="s">
        <v>43</v>
      </c>
      <c r="B53" s="2" t="str">
        <f t="shared" si="2"/>
        <v>Health Care &amp; Social Assistance</v>
      </c>
      <c r="C53" s="2">
        <v>1</v>
      </c>
    </row>
    <row r="54" spans="1:3" x14ac:dyDescent="0.25">
      <c r="A54" s="2" t="s">
        <v>16</v>
      </c>
      <c r="B54" s="2" t="str">
        <f t="shared" si="2"/>
        <v>Mining</v>
      </c>
      <c r="C54" s="2">
        <v>-5</v>
      </c>
    </row>
    <row r="55" spans="1:3" x14ac:dyDescent="0.25">
      <c r="A55" s="2" t="s">
        <v>9</v>
      </c>
      <c r="B55" s="2" t="str">
        <f t="shared" si="2"/>
        <v>Management of Companies &amp; Support Services</v>
      </c>
      <c r="C55" s="2">
        <v>-4</v>
      </c>
    </row>
    <row r="56" spans="1:3" x14ac:dyDescent="0.25">
      <c r="A56" s="2" t="s">
        <v>13</v>
      </c>
      <c r="B56" s="2" t="str">
        <f t="shared" si="2"/>
        <v>Agriculture, Forestry, Fishing &amp; Hunting</v>
      </c>
      <c r="C56" s="2">
        <v>-3</v>
      </c>
    </row>
    <row r="57" spans="1:3" x14ac:dyDescent="0.25">
      <c r="A57" s="2" t="s">
        <v>22</v>
      </c>
      <c r="B57" s="2" t="str">
        <f t="shared" si="2"/>
        <v>Other Services</v>
      </c>
      <c r="C57" s="2">
        <v>-2</v>
      </c>
    </row>
    <row r="58" spans="1:3" x14ac:dyDescent="0.25">
      <c r="A58" s="2" t="s">
        <v>28</v>
      </c>
      <c r="B58" s="2" t="str">
        <f t="shared" si="2"/>
        <v>Information</v>
      </c>
      <c r="C58" s="2">
        <v>-1</v>
      </c>
    </row>
    <row r="60" spans="1:3" x14ac:dyDescent="0.25">
      <c r="A60" s="39" t="s">
        <v>24</v>
      </c>
      <c r="B60" s="39"/>
      <c r="C60" s="39"/>
    </row>
    <row r="61" spans="1:3" x14ac:dyDescent="0.25">
      <c r="A61" s="2" t="s">
        <v>18</v>
      </c>
      <c r="B61" s="2" t="str">
        <f t="shared" ref="B61:B77" si="3">TRIM(A61)</f>
        <v>Other Services</v>
      </c>
      <c r="C61" s="2">
        <v>-16</v>
      </c>
    </row>
    <row r="62" spans="1:3" x14ac:dyDescent="0.25">
      <c r="A62" s="2" t="s">
        <v>8</v>
      </c>
      <c r="B62" s="2" t="str">
        <f t="shared" si="3"/>
        <v>Retail Trade</v>
      </c>
      <c r="C62" s="2">
        <v>-15</v>
      </c>
    </row>
    <row r="63" spans="1:3" x14ac:dyDescent="0.25">
      <c r="A63" s="2" t="s">
        <v>3</v>
      </c>
      <c r="B63" s="2" t="str">
        <f t="shared" si="3"/>
        <v>Utilities</v>
      </c>
      <c r="C63" s="2">
        <v>-14</v>
      </c>
    </row>
    <row r="64" spans="1:3" x14ac:dyDescent="0.25">
      <c r="A64" s="2" t="s">
        <v>12</v>
      </c>
      <c r="B64" s="2" t="str">
        <f t="shared" si="3"/>
        <v>Educational Services</v>
      </c>
      <c r="C64" s="2">
        <v>-13</v>
      </c>
    </row>
    <row r="65" spans="1:3" x14ac:dyDescent="0.25">
      <c r="A65" s="2" t="s">
        <v>17</v>
      </c>
      <c r="B65" s="2" t="str">
        <f t="shared" si="3"/>
        <v>Information</v>
      </c>
      <c r="C65" s="2">
        <v>-12</v>
      </c>
    </row>
    <row r="66" spans="1:3" x14ac:dyDescent="0.25">
      <c r="A66" s="2" t="s">
        <v>7</v>
      </c>
      <c r="B66" s="2" t="str">
        <f t="shared" si="3"/>
        <v>Construction</v>
      </c>
      <c r="C66" s="2">
        <v>-11</v>
      </c>
    </row>
    <row r="67" spans="1:3" x14ac:dyDescent="0.25">
      <c r="A67" s="2" t="s">
        <v>14</v>
      </c>
      <c r="B67" s="2" t="str">
        <f t="shared" si="3"/>
        <v>Real Estate, Rental &amp; Leasing</v>
      </c>
      <c r="C67" s="2">
        <v>-10</v>
      </c>
    </row>
    <row r="68" spans="1:3" x14ac:dyDescent="0.25">
      <c r="A68" s="2" t="s">
        <v>33</v>
      </c>
      <c r="B68" s="2" t="str">
        <f t="shared" si="3"/>
        <v>Mining</v>
      </c>
      <c r="C68" s="2">
        <v>-9</v>
      </c>
    </row>
    <row r="69" spans="1:3" x14ac:dyDescent="0.25">
      <c r="A69" s="2" t="s">
        <v>10</v>
      </c>
      <c r="B69" s="2" t="str">
        <f t="shared" si="3"/>
        <v>Public Administration</v>
      </c>
      <c r="C69" s="2">
        <v>-8</v>
      </c>
    </row>
    <row r="70" spans="1:3" x14ac:dyDescent="0.25">
      <c r="A70" s="2" t="s">
        <v>5</v>
      </c>
      <c r="B70" s="2" t="str">
        <f t="shared" si="3"/>
        <v>Transportation &amp; Warehousing</v>
      </c>
      <c r="C70" s="2">
        <v>-7</v>
      </c>
    </row>
    <row r="71" spans="1:3" x14ac:dyDescent="0.25">
      <c r="A71" s="2" t="s">
        <v>13</v>
      </c>
      <c r="B71" s="2" t="str">
        <f t="shared" si="3"/>
        <v>Agriculture, Forestry, Fishing &amp; Hunting</v>
      </c>
      <c r="C71" s="2">
        <v>-6</v>
      </c>
    </row>
    <row r="72" spans="1:3" x14ac:dyDescent="0.25">
      <c r="A72" s="2" t="s">
        <v>9</v>
      </c>
      <c r="B72" s="2" t="str">
        <f t="shared" si="3"/>
        <v>Management of Companies &amp; Support Services</v>
      </c>
      <c r="C72" s="2">
        <v>-5</v>
      </c>
    </row>
    <row r="73" spans="1:3" x14ac:dyDescent="0.25">
      <c r="A73" s="2" t="s">
        <v>2</v>
      </c>
      <c r="B73" s="2" t="str">
        <f t="shared" si="3"/>
        <v>Health Care &amp; Social Assistance</v>
      </c>
      <c r="C73" s="2">
        <v>-4</v>
      </c>
    </row>
    <row r="74" spans="1:3" x14ac:dyDescent="0.25">
      <c r="A74" s="2" t="s">
        <v>6</v>
      </c>
      <c r="B74" s="2" t="str">
        <f t="shared" si="3"/>
        <v>Wholesale Trade</v>
      </c>
      <c r="C74" s="2">
        <v>-3</v>
      </c>
    </row>
    <row r="75" spans="1:3" x14ac:dyDescent="0.25">
      <c r="A75" s="2" t="s">
        <v>4</v>
      </c>
      <c r="B75" s="2" t="str">
        <f t="shared" si="3"/>
        <v>Accommodation &amp; Food Services</v>
      </c>
      <c r="C75" s="2">
        <v>-2</v>
      </c>
    </row>
    <row r="76" spans="1:3" x14ac:dyDescent="0.25">
      <c r="A76" s="2" t="s">
        <v>23</v>
      </c>
      <c r="B76" s="2" t="str">
        <f t="shared" si="3"/>
        <v>Finance &amp; Insurance</v>
      </c>
      <c r="C76" s="2">
        <v>-1</v>
      </c>
    </row>
    <row r="77" spans="1:3" x14ac:dyDescent="0.25">
      <c r="A77" s="2" t="s">
        <v>15</v>
      </c>
      <c r="B77" s="2" t="str">
        <f t="shared" si="3"/>
        <v>Professional, Scientific &amp; Technical Services</v>
      </c>
      <c r="C77" s="2">
        <v>1</v>
      </c>
    </row>
    <row r="79" spans="1:3" x14ac:dyDescent="0.25">
      <c r="A79" s="39" t="s">
        <v>26</v>
      </c>
      <c r="B79" s="39"/>
      <c r="C79" s="39"/>
    </row>
    <row r="80" spans="1:3" x14ac:dyDescent="0.25">
      <c r="A80" s="2" t="s">
        <v>16</v>
      </c>
      <c r="B80" s="2" t="str">
        <f t="shared" ref="B80:B90" si="4">TRIM(A80)</f>
        <v>Mining</v>
      </c>
      <c r="C80" s="2">
        <v>8</v>
      </c>
    </row>
    <row r="81" spans="1:3" x14ac:dyDescent="0.25">
      <c r="A81" s="2" t="s">
        <v>8</v>
      </c>
      <c r="B81" s="2" t="str">
        <f t="shared" si="4"/>
        <v>Retail Trade</v>
      </c>
      <c r="C81" s="2">
        <v>7</v>
      </c>
    </row>
    <row r="82" spans="1:3" x14ac:dyDescent="0.25">
      <c r="A82" s="2" t="s">
        <v>42</v>
      </c>
      <c r="B82" s="2" t="str">
        <f t="shared" si="4"/>
        <v>Arts, Entertainment &amp; Recreation</v>
      </c>
      <c r="C82" s="2">
        <v>6</v>
      </c>
    </row>
    <row r="83" spans="1:3" x14ac:dyDescent="0.25">
      <c r="A83" s="2" t="s">
        <v>3</v>
      </c>
      <c r="B83" s="2" t="str">
        <f t="shared" si="4"/>
        <v>Utilities</v>
      </c>
      <c r="C83" s="2">
        <v>5</v>
      </c>
    </row>
    <row r="84" spans="1:3" x14ac:dyDescent="0.25">
      <c r="A84" s="2" t="s">
        <v>12</v>
      </c>
      <c r="B84" s="2" t="str">
        <f t="shared" si="4"/>
        <v>Educational Services</v>
      </c>
      <c r="C84" s="2">
        <v>4</v>
      </c>
    </row>
    <row r="85" spans="1:3" x14ac:dyDescent="0.25">
      <c r="A85" s="2" t="s">
        <v>4</v>
      </c>
      <c r="B85" s="2" t="str">
        <f t="shared" si="4"/>
        <v>Accommodation &amp; Food Services</v>
      </c>
      <c r="C85" s="2">
        <v>3</v>
      </c>
    </row>
    <row r="86" spans="1:3" x14ac:dyDescent="0.25">
      <c r="A86" s="2" t="s">
        <v>6</v>
      </c>
      <c r="B86" s="2" t="str">
        <f t="shared" si="4"/>
        <v>Wholesale Trade</v>
      </c>
      <c r="C86" s="2">
        <v>2</v>
      </c>
    </row>
    <row r="87" spans="1:3" x14ac:dyDescent="0.25">
      <c r="A87" s="2" t="s">
        <v>15</v>
      </c>
      <c r="B87" s="2" t="str">
        <f t="shared" si="4"/>
        <v>Professional, Scientific &amp; Technical Services</v>
      </c>
      <c r="C87" s="2">
        <v>1</v>
      </c>
    </row>
    <row r="88" spans="1:3" x14ac:dyDescent="0.25">
      <c r="A88" s="2" t="s">
        <v>28</v>
      </c>
      <c r="B88" s="2" t="str">
        <f t="shared" si="4"/>
        <v>Information</v>
      </c>
      <c r="C88" s="2">
        <v>-3</v>
      </c>
    </row>
    <row r="89" spans="1:3" x14ac:dyDescent="0.25">
      <c r="A89" s="2" t="s">
        <v>13</v>
      </c>
      <c r="B89" s="2" t="str">
        <f t="shared" si="4"/>
        <v>Agriculture, Forestry, Fishing &amp; Hunting</v>
      </c>
      <c r="C89" s="2">
        <v>-2</v>
      </c>
    </row>
    <row r="90" spans="1:3" x14ac:dyDescent="0.25">
      <c r="A90" s="2" t="s">
        <v>43</v>
      </c>
      <c r="B90" s="2" t="str">
        <f t="shared" si="4"/>
        <v>Health Care &amp; Social Assistance</v>
      </c>
      <c r="C90" s="2">
        <v>-1</v>
      </c>
    </row>
    <row r="92" spans="1:3" x14ac:dyDescent="0.25">
      <c r="A92" s="39" t="s">
        <v>30</v>
      </c>
      <c r="B92" s="39"/>
      <c r="C92" s="39"/>
    </row>
    <row r="93" spans="1:3" x14ac:dyDescent="0.25">
      <c r="A93" s="2" t="s">
        <v>20</v>
      </c>
      <c r="B93" s="2" t="str">
        <f t="shared" ref="B93:B110" si="5">TRIM(A93)</f>
        <v>Construction</v>
      </c>
      <c r="C93" s="2">
        <v>18</v>
      </c>
    </row>
    <row r="94" spans="1:3" x14ac:dyDescent="0.25">
      <c r="A94" s="2" t="s">
        <v>9</v>
      </c>
      <c r="B94" s="2" t="str">
        <f t="shared" si="5"/>
        <v>Management of Companies &amp; Support Services</v>
      </c>
      <c r="C94" s="2">
        <v>17</v>
      </c>
    </row>
    <row r="95" spans="1:3" x14ac:dyDescent="0.25">
      <c r="A95" s="2" t="s">
        <v>33</v>
      </c>
      <c r="B95" s="2" t="str">
        <f t="shared" si="5"/>
        <v>Mining</v>
      </c>
      <c r="C95" s="2">
        <v>16</v>
      </c>
    </row>
    <row r="96" spans="1:3" x14ac:dyDescent="0.25">
      <c r="A96" s="2" t="s">
        <v>5</v>
      </c>
      <c r="B96" s="2" t="str">
        <f t="shared" si="5"/>
        <v>Transportation &amp; Warehousing</v>
      </c>
      <c r="C96" s="2">
        <v>15</v>
      </c>
    </row>
    <row r="97" spans="1:3" x14ac:dyDescent="0.25">
      <c r="A97" s="2" t="s">
        <v>3</v>
      </c>
      <c r="B97" s="2" t="str">
        <f t="shared" si="5"/>
        <v>Utilities</v>
      </c>
      <c r="C97" s="2">
        <v>14</v>
      </c>
    </row>
    <row r="98" spans="1:3" x14ac:dyDescent="0.25">
      <c r="A98" s="2" t="s">
        <v>13</v>
      </c>
      <c r="B98" s="2" t="str">
        <f t="shared" si="5"/>
        <v>Agriculture, Forestry, Fishing &amp; Hunting</v>
      </c>
      <c r="C98" s="2">
        <v>13</v>
      </c>
    </row>
    <row r="99" spans="1:3" x14ac:dyDescent="0.25">
      <c r="A99" s="2" t="s">
        <v>14</v>
      </c>
      <c r="B99" s="2" t="str">
        <f t="shared" si="5"/>
        <v>Real Estate, Rental &amp; Leasing</v>
      </c>
      <c r="C99" s="2">
        <v>12</v>
      </c>
    </row>
    <row r="100" spans="1:3" x14ac:dyDescent="0.25">
      <c r="A100" s="2" t="s">
        <v>17</v>
      </c>
      <c r="B100" s="2" t="str">
        <f t="shared" si="5"/>
        <v>Information</v>
      </c>
      <c r="C100" s="2">
        <v>11</v>
      </c>
    </row>
    <row r="101" spans="1:3" x14ac:dyDescent="0.25">
      <c r="A101" s="2" t="s">
        <v>6</v>
      </c>
      <c r="B101" s="2" t="str">
        <f t="shared" si="5"/>
        <v>Wholesale Trade</v>
      </c>
      <c r="C101" s="2">
        <v>10</v>
      </c>
    </row>
    <row r="102" spans="1:3" x14ac:dyDescent="0.25">
      <c r="A102" s="2" t="s">
        <v>42</v>
      </c>
      <c r="B102" s="2" t="str">
        <f t="shared" si="5"/>
        <v>Arts, Entertainment &amp; Recreation</v>
      </c>
      <c r="C102" s="2">
        <v>9</v>
      </c>
    </row>
    <row r="103" spans="1:3" x14ac:dyDescent="0.25">
      <c r="A103" s="2" t="s">
        <v>12</v>
      </c>
      <c r="B103" s="2" t="str">
        <f t="shared" si="5"/>
        <v>Educational Services</v>
      </c>
      <c r="C103" s="2">
        <v>8</v>
      </c>
    </row>
    <row r="104" spans="1:3" x14ac:dyDescent="0.25">
      <c r="A104" s="2" t="s">
        <v>10</v>
      </c>
      <c r="B104" s="2" t="str">
        <f t="shared" si="5"/>
        <v>Public Administration</v>
      </c>
      <c r="C104" s="2">
        <v>7</v>
      </c>
    </row>
    <row r="105" spans="1:3" x14ac:dyDescent="0.25">
      <c r="A105" s="2" t="s">
        <v>22</v>
      </c>
      <c r="B105" s="2" t="str">
        <f t="shared" si="5"/>
        <v>Other Services</v>
      </c>
      <c r="C105" s="2">
        <v>6</v>
      </c>
    </row>
    <row r="106" spans="1:3" x14ac:dyDescent="0.25">
      <c r="A106" s="2" t="s">
        <v>8</v>
      </c>
      <c r="B106" s="2" t="str">
        <f t="shared" si="5"/>
        <v>Retail Trade</v>
      </c>
      <c r="C106" s="2">
        <v>5</v>
      </c>
    </row>
    <row r="107" spans="1:3" x14ac:dyDescent="0.25">
      <c r="A107" s="2" t="s">
        <v>32</v>
      </c>
      <c r="B107" s="2" t="str">
        <f t="shared" si="5"/>
        <v>Professional, Scientific &amp; Technical Services</v>
      </c>
      <c r="C107" s="2">
        <v>4</v>
      </c>
    </row>
    <row r="108" spans="1:3" x14ac:dyDescent="0.25">
      <c r="A108" s="2" t="s">
        <v>4</v>
      </c>
      <c r="B108" s="2" t="str">
        <f t="shared" si="5"/>
        <v>Accommodation &amp; Food Services</v>
      </c>
      <c r="C108" s="2">
        <v>3</v>
      </c>
    </row>
    <row r="109" spans="1:3" x14ac:dyDescent="0.25">
      <c r="A109" s="2" t="s">
        <v>2</v>
      </c>
      <c r="B109" s="2" t="str">
        <f t="shared" si="5"/>
        <v>Health Care &amp; Social Assistance</v>
      </c>
      <c r="C109" s="2">
        <v>2</v>
      </c>
    </row>
    <row r="110" spans="1:3" x14ac:dyDescent="0.25">
      <c r="A110" s="2" t="s">
        <v>23</v>
      </c>
      <c r="B110" s="2" t="str">
        <f t="shared" si="5"/>
        <v>Finance &amp; Insurance</v>
      </c>
      <c r="C110" s="2">
        <v>1</v>
      </c>
    </row>
    <row r="112" spans="1:3" x14ac:dyDescent="0.25">
      <c r="A112" s="39" t="s">
        <v>3818</v>
      </c>
      <c r="B112" s="39"/>
      <c r="C112" s="39"/>
    </row>
    <row r="113" spans="1:3" x14ac:dyDescent="0.25">
      <c r="A113" s="2" t="s">
        <v>1</v>
      </c>
      <c r="B113" s="2" t="str">
        <f t="shared" ref="B113:B127" si="6">TRIM(A113)</f>
        <v>Arts, Entertainment &amp; Recreation</v>
      </c>
      <c r="C113" s="2">
        <v>13</v>
      </c>
    </row>
    <row r="114" spans="1:3" x14ac:dyDescent="0.25">
      <c r="A114" s="2" t="s">
        <v>12</v>
      </c>
      <c r="B114" s="2" t="str">
        <f t="shared" si="6"/>
        <v>Educational Services</v>
      </c>
      <c r="C114" s="2">
        <v>12</v>
      </c>
    </row>
    <row r="115" spans="1:3" x14ac:dyDescent="0.25">
      <c r="A115" s="2" t="s">
        <v>6</v>
      </c>
      <c r="B115" s="2" t="str">
        <f t="shared" si="6"/>
        <v>Wholesale Trade</v>
      </c>
      <c r="C115" s="2">
        <v>11</v>
      </c>
    </row>
    <row r="116" spans="1:3" x14ac:dyDescent="0.25">
      <c r="A116" s="2" t="s">
        <v>22</v>
      </c>
      <c r="B116" s="2" t="str">
        <f t="shared" si="6"/>
        <v>Other Services</v>
      </c>
      <c r="C116" s="2">
        <v>10</v>
      </c>
    </row>
    <row r="117" spans="1:3" x14ac:dyDescent="0.25">
      <c r="A117" s="2" t="s">
        <v>3</v>
      </c>
      <c r="B117" s="2" t="str">
        <f t="shared" si="6"/>
        <v>Utilities</v>
      </c>
      <c r="C117" s="2">
        <v>9</v>
      </c>
    </row>
    <row r="118" spans="1:3" x14ac:dyDescent="0.25">
      <c r="A118" s="2" t="s">
        <v>4</v>
      </c>
      <c r="B118" s="2" t="str">
        <f t="shared" si="6"/>
        <v>Accommodation &amp; Food Services</v>
      </c>
      <c r="C118" s="2">
        <v>8</v>
      </c>
    </row>
    <row r="119" spans="1:3" x14ac:dyDescent="0.25">
      <c r="A119" s="2" t="s">
        <v>17</v>
      </c>
      <c r="B119" s="2" t="str">
        <f t="shared" si="6"/>
        <v>Information</v>
      </c>
      <c r="C119" s="2">
        <v>7</v>
      </c>
    </row>
    <row r="120" spans="1:3" x14ac:dyDescent="0.25">
      <c r="A120" s="2" t="s">
        <v>7</v>
      </c>
      <c r="B120" s="2" t="str">
        <f t="shared" si="6"/>
        <v>Construction</v>
      </c>
      <c r="C120" s="2">
        <v>6</v>
      </c>
    </row>
    <row r="121" spans="1:3" x14ac:dyDescent="0.25">
      <c r="A121" s="2" t="s">
        <v>10</v>
      </c>
      <c r="B121" s="2" t="str">
        <f t="shared" si="6"/>
        <v>Public Administration</v>
      </c>
      <c r="C121" s="2">
        <v>5</v>
      </c>
    </row>
    <row r="122" spans="1:3" x14ac:dyDescent="0.25">
      <c r="A122" s="2" t="s">
        <v>5</v>
      </c>
      <c r="B122" s="2" t="str">
        <f t="shared" si="6"/>
        <v>Transportation &amp; Warehousing</v>
      </c>
      <c r="C122" s="2">
        <v>4</v>
      </c>
    </row>
    <row r="123" spans="1:3" x14ac:dyDescent="0.25">
      <c r="A123" s="2" t="s">
        <v>11</v>
      </c>
      <c r="B123" s="2" t="str">
        <f t="shared" si="6"/>
        <v>Finance &amp; Insurance</v>
      </c>
      <c r="C123" s="2">
        <v>3</v>
      </c>
    </row>
    <row r="124" spans="1:3" x14ac:dyDescent="0.25">
      <c r="A124" s="2" t="s">
        <v>9</v>
      </c>
      <c r="B124" s="2" t="str">
        <f t="shared" si="6"/>
        <v>Management of Companies &amp; Support Services</v>
      </c>
      <c r="C124" s="2">
        <v>2</v>
      </c>
    </row>
    <row r="125" spans="1:3" x14ac:dyDescent="0.25">
      <c r="A125" s="2" t="s">
        <v>15</v>
      </c>
      <c r="B125" s="2" t="str">
        <f t="shared" si="6"/>
        <v>Professional, Scientific &amp; Technical Services</v>
      </c>
      <c r="C125" s="2">
        <v>1</v>
      </c>
    </row>
    <row r="126" spans="1:3" x14ac:dyDescent="0.25">
      <c r="A126" s="2" t="s">
        <v>35</v>
      </c>
      <c r="B126" s="2" t="str">
        <f t="shared" si="6"/>
        <v>Agriculture, Forestry, Fishing &amp; Hunting</v>
      </c>
      <c r="C126" s="2">
        <v>-2</v>
      </c>
    </row>
    <row r="127" spans="1:3" x14ac:dyDescent="0.25">
      <c r="A127" s="2" t="s">
        <v>43</v>
      </c>
      <c r="B127" s="2" t="str">
        <f t="shared" si="6"/>
        <v>Health Care &amp; Social Assistance</v>
      </c>
      <c r="C127" s="2">
        <v>-1</v>
      </c>
    </row>
  </sheetData>
  <mergeCells count="7">
    <mergeCell ref="A112:C112"/>
    <mergeCell ref="A92:C92"/>
    <mergeCell ref="A1:C1"/>
    <mergeCell ref="A21:C21"/>
    <mergeCell ref="A40:C40"/>
    <mergeCell ref="A60:C60"/>
    <mergeCell ref="A79:C79"/>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5C6415-27F7-4877-954E-B8289F07C2F7}">
  <sheetPr>
    <tabColor theme="7" tint="-0.249977111117893"/>
  </sheetPr>
  <dimension ref="A1"/>
  <sheetViews>
    <sheetView workbookViewId="0">
      <selection activeCell="H30" sqref="H30"/>
    </sheetView>
  </sheetViews>
  <sheetFormatPr defaultRowHeight="15" x14ac:dyDescent="0.25"/>
  <cols>
    <col min="1" max="1" width="43.42578125" bestFit="1" customWidth="1"/>
    <col min="2" max="2" width="19.7109375" bestFit="1" customWidth="1"/>
    <col min="3" max="3" width="29" bestFit="1" customWidth="1"/>
    <col min="4" max="4" width="7.5703125" bestFit="1" customWidth="1"/>
    <col min="5" max="5" width="16.42578125" bestFit="1" customWidth="1"/>
    <col min="6" max="6" width="19.42578125" bestFit="1" customWidth="1"/>
    <col min="7" max="7" width="12.7109375" bestFit="1" customWidth="1"/>
    <col min="8" max="8" width="20.85546875" bestFit="1" customWidth="1"/>
    <col min="9" max="9" width="8.42578125" bestFit="1" customWidth="1"/>
    <col min="10" max="10" width="40.85546875" bestFit="1" customWidth="1"/>
    <col min="11" max="11" width="14.42578125" bestFit="1" customWidth="1"/>
    <col min="12" max="12" width="12" bestFit="1" customWidth="1"/>
    <col min="13" max="13" width="40.42578125" bestFit="1" customWidth="1"/>
    <col min="15" max="15" width="29" bestFit="1" customWidth="1"/>
    <col min="16" max="16" width="37" bestFit="1" customWidth="1"/>
    <col min="17" max="17" width="30.5703125" bestFit="1" customWidth="1"/>
  </cols>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tabColor rgb="FF81D41A"/>
  </sheetPr>
  <dimension ref="A1:GA142"/>
  <sheetViews>
    <sheetView tabSelected="1" zoomScale="85" zoomScaleNormal="85" workbookViewId="0">
      <selection activeCell="O5" sqref="O5"/>
    </sheetView>
  </sheetViews>
  <sheetFormatPr defaultRowHeight="15" x14ac:dyDescent="0.25"/>
  <cols>
    <col min="1" max="1" width="44.5703125" customWidth="1"/>
    <col min="2" max="2" width="11.5703125" customWidth="1"/>
    <col min="3" max="3" width="15.42578125" customWidth="1"/>
    <col min="4" max="4" width="12.5703125" customWidth="1"/>
    <col min="5" max="5" width="15" customWidth="1"/>
    <col min="6" max="6" width="14.7109375" customWidth="1"/>
    <col min="7" max="7" width="10.7109375" customWidth="1"/>
    <col min="8" max="12" width="8.7109375" customWidth="1"/>
    <col min="13" max="15" width="9.7109375" customWidth="1"/>
    <col min="16" max="18" width="8.7109375" customWidth="1"/>
    <col min="19" max="19" width="12.140625" bestFit="1" customWidth="1"/>
    <col min="20" max="20" width="13.42578125" bestFit="1" customWidth="1"/>
    <col min="21" max="21" width="10.85546875" bestFit="1" customWidth="1"/>
    <col min="22" max="168" width="8.7109375" customWidth="1"/>
    <col min="169" max="169" width="9.7109375" customWidth="1"/>
    <col min="170" max="175" width="8.7109375" customWidth="1"/>
    <col min="176" max="177" width="9.7109375" bestFit="1" customWidth="1"/>
    <col min="178" max="178" width="9.7109375" customWidth="1"/>
    <col min="179" max="180" width="9.7109375" bestFit="1" customWidth="1"/>
    <col min="181" max="182" width="10.7109375" bestFit="1" customWidth="1"/>
    <col min="183" max="183" width="10.7109375" customWidth="1"/>
    <col min="184" max="1025" width="8.7109375" customWidth="1"/>
  </cols>
  <sheetData>
    <row r="1" spans="1:21" ht="18.75" x14ac:dyDescent="0.3">
      <c r="A1" s="8" t="s">
        <v>53</v>
      </c>
      <c r="B1" s="9" t="s">
        <v>54</v>
      </c>
      <c r="C1" s="9" t="s">
        <v>55</v>
      </c>
      <c r="D1" s="9" t="s">
        <v>56</v>
      </c>
      <c r="E1" s="9" t="s">
        <v>57</v>
      </c>
      <c r="F1" s="9" t="s">
        <v>58</v>
      </c>
      <c r="G1" s="10">
        <v>44197</v>
      </c>
      <c r="H1" s="11">
        <v>44248</v>
      </c>
      <c r="I1" s="11">
        <v>44276</v>
      </c>
      <c r="J1" s="11">
        <v>44307</v>
      </c>
      <c r="K1" s="11">
        <v>44337</v>
      </c>
      <c r="L1" s="11">
        <v>44368</v>
      </c>
      <c r="M1" s="11">
        <v>44398</v>
      </c>
      <c r="N1" s="11">
        <v>44429</v>
      </c>
      <c r="O1" s="11">
        <v>44460</v>
      </c>
      <c r="P1" s="11">
        <v>44490</v>
      </c>
      <c r="Q1" s="11">
        <v>44521</v>
      </c>
      <c r="R1" s="30">
        <v>44916</v>
      </c>
      <c r="S1" s="11" t="s">
        <v>3811</v>
      </c>
      <c r="T1" s="30" t="s">
        <v>3812</v>
      </c>
      <c r="U1" s="11" t="s">
        <v>3813</v>
      </c>
    </row>
    <row r="2" spans="1:21" x14ac:dyDescent="0.25">
      <c r="A2" s="12" t="s">
        <v>41</v>
      </c>
      <c r="B2" s="1">
        <v>7</v>
      </c>
      <c r="C2" s="1">
        <v>14</v>
      </c>
      <c r="D2" s="1">
        <v>9</v>
      </c>
      <c r="E2" s="1">
        <v>13</v>
      </c>
      <c r="F2" s="1">
        <v>14</v>
      </c>
      <c r="G2" s="1">
        <v>8</v>
      </c>
      <c r="H2" s="1">
        <v>6</v>
      </c>
      <c r="I2" s="1">
        <v>15</v>
      </c>
      <c r="J2" s="1">
        <v>15</v>
      </c>
      <c r="K2" s="1">
        <v>10</v>
      </c>
      <c r="L2" s="1">
        <v>11</v>
      </c>
      <c r="M2" s="1">
        <v>14</v>
      </c>
      <c r="N2" s="1">
        <v>5</v>
      </c>
      <c r="O2" s="1">
        <v>15</v>
      </c>
      <c r="P2" s="1">
        <v>5</v>
      </c>
      <c r="Q2" s="1">
        <v>14</v>
      </c>
      <c r="R2" s="2">
        <v>12</v>
      </c>
      <c r="S2" s="2">
        <f>VLOOKUP(A2,'January 2022'!$B$2:$C$19,2,FALSE)</f>
        <v>4</v>
      </c>
      <c r="T2" s="2">
        <f>VLOOKUP(A2,'February 2022'!$B$2:$C$19,2,FALSE)</f>
        <v>11</v>
      </c>
      <c r="U2" s="2">
        <f>VLOOKUP(A2,'March 2022'!$B$2:$C$19,2,FALSE)</f>
        <v>5</v>
      </c>
    </row>
    <row r="3" spans="1:21" x14ac:dyDescent="0.25">
      <c r="A3" s="12" t="s">
        <v>36</v>
      </c>
      <c r="B3" s="1">
        <v>10</v>
      </c>
      <c r="C3" s="1">
        <v>11</v>
      </c>
      <c r="D3" s="1">
        <v>8</v>
      </c>
      <c r="E3" s="1">
        <v>7</v>
      </c>
      <c r="F3" s="1">
        <v>13</v>
      </c>
      <c r="G3" s="1">
        <v>12</v>
      </c>
      <c r="H3" s="1">
        <v>16</v>
      </c>
      <c r="I3" s="1">
        <v>17</v>
      </c>
      <c r="J3" s="1">
        <v>16</v>
      </c>
      <c r="K3" s="1">
        <v>17</v>
      </c>
      <c r="L3" s="1">
        <v>13</v>
      </c>
      <c r="M3" s="1">
        <v>16</v>
      </c>
      <c r="N3" s="1">
        <v>6</v>
      </c>
      <c r="O3" s="1">
        <v>2</v>
      </c>
      <c r="P3" s="1">
        <v>9</v>
      </c>
      <c r="Q3" s="1">
        <v>12</v>
      </c>
      <c r="R3" s="2">
        <v>15</v>
      </c>
      <c r="S3" s="2">
        <f>VLOOKUP(A3,'January 2022'!$B$2:$C$19,2,FALSE)</f>
        <v>2</v>
      </c>
      <c r="T3" s="2">
        <f>VLOOKUP(A3,'February 2022'!$B$2:$C$19,2,FALSE)</f>
        <v>10</v>
      </c>
      <c r="U3" s="2">
        <f>VLOOKUP(A3,'March 2022'!$B$2:$C$19,2,FALSE)</f>
        <v>13</v>
      </c>
    </row>
    <row r="4" spans="1:21" x14ac:dyDescent="0.25">
      <c r="A4" s="12" t="s">
        <v>25</v>
      </c>
      <c r="B4" s="1">
        <v>8</v>
      </c>
      <c r="C4" s="1">
        <v>3</v>
      </c>
      <c r="D4" s="1">
        <v>4</v>
      </c>
      <c r="E4" s="1">
        <v>8</v>
      </c>
      <c r="F4" s="1">
        <v>12</v>
      </c>
      <c r="G4" s="1">
        <v>-2</v>
      </c>
      <c r="H4" s="1">
        <v>9</v>
      </c>
      <c r="I4" s="1">
        <v>3</v>
      </c>
      <c r="J4" s="1">
        <v>9</v>
      </c>
      <c r="K4" s="1">
        <v>18</v>
      </c>
      <c r="L4" s="1">
        <v>12</v>
      </c>
      <c r="M4" s="1">
        <v>13</v>
      </c>
      <c r="N4" s="1">
        <v>16</v>
      </c>
      <c r="O4" s="1">
        <v>17</v>
      </c>
      <c r="P4" s="1">
        <v>18</v>
      </c>
      <c r="Q4" s="1">
        <v>16</v>
      </c>
      <c r="R4" s="2">
        <v>11</v>
      </c>
      <c r="S4" s="2">
        <f>VLOOKUP(A4,'January 2022'!$B$2:$C$19,2,FALSE)</f>
        <v>14</v>
      </c>
      <c r="T4" s="2">
        <f>VLOOKUP(A4,'February 2022'!$B$2:$C$19,2,FALSE)</f>
        <v>3</v>
      </c>
      <c r="U4" s="2">
        <f>VLOOKUP(A4,'March 2022'!$B$2:$C$19,2,FALSE)</f>
        <v>6</v>
      </c>
    </row>
    <row r="5" spans="1:21" x14ac:dyDescent="0.25">
      <c r="A5" s="12" t="s">
        <v>43</v>
      </c>
      <c r="B5" s="1">
        <v>14</v>
      </c>
      <c r="C5" s="1">
        <v>12</v>
      </c>
      <c r="D5" s="1">
        <v>13</v>
      </c>
      <c r="E5" s="1">
        <v>12</v>
      </c>
      <c r="F5" s="1">
        <v>11</v>
      </c>
      <c r="G5" s="1">
        <v>9</v>
      </c>
      <c r="H5" s="1">
        <v>10</v>
      </c>
      <c r="I5" s="1">
        <v>6</v>
      </c>
      <c r="J5" s="1">
        <v>5</v>
      </c>
      <c r="K5" s="1">
        <v>5</v>
      </c>
      <c r="L5" s="1">
        <v>6</v>
      </c>
      <c r="M5" s="1">
        <v>6</v>
      </c>
      <c r="N5" s="1">
        <v>7</v>
      </c>
      <c r="O5" s="1">
        <v>5</v>
      </c>
      <c r="P5" s="1">
        <v>7</v>
      </c>
      <c r="Q5" s="1">
        <v>8</v>
      </c>
      <c r="R5" s="2">
        <v>9</v>
      </c>
      <c r="S5" s="2">
        <f>VLOOKUP(A5,'January 2022'!$B$2:$C$19,2,FALSE)</f>
        <v>13</v>
      </c>
      <c r="T5" s="2">
        <f>VLOOKUP(A5,'February 2022'!$B$2:$C$19,2,FALSE)</f>
        <v>7</v>
      </c>
      <c r="U5" s="2">
        <f>VLOOKUP(A5,'March 2022'!$B$2:$C$19,2,FALSE)</f>
        <v>1</v>
      </c>
    </row>
    <row r="6" spans="1:21" x14ac:dyDescent="0.25">
      <c r="A6" s="12" t="s">
        <v>38</v>
      </c>
      <c r="B6" s="1">
        <v>11</v>
      </c>
      <c r="C6" s="1">
        <v>13</v>
      </c>
      <c r="D6" s="1">
        <v>16</v>
      </c>
      <c r="E6" s="1">
        <v>14</v>
      </c>
      <c r="F6" s="1">
        <v>10</v>
      </c>
      <c r="G6" s="1">
        <v>10</v>
      </c>
      <c r="H6" s="1">
        <v>15</v>
      </c>
      <c r="I6" s="1">
        <v>10</v>
      </c>
      <c r="J6" s="1">
        <v>10</v>
      </c>
      <c r="K6" s="1">
        <v>14</v>
      </c>
      <c r="L6" s="1">
        <v>14</v>
      </c>
      <c r="M6" s="1">
        <v>11</v>
      </c>
      <c r="N6" s="1">
        <v>8</v>
      </c>
      <c r="O6" s="1">
        <v>13</v>
      </c>
      <c r="P6" s="1">
        <v>17</v>
      </c>
      <c r="Q6" s="1">
        <v>17</v>
      </c>
      <c r="R6" s="2">
        <v>13</v>
      </c>
      <c r="S6" s="2">
        <f>VLOOKUP(A6,'January 2022'!$B$2:$C$19,2,FALSE)</f>
        <v>3</v>
      </c>
      <c r="T6" s="2">
        <f>VLOOKUP(A6,'February 2022'!$B$2:$C$19,2,FALSE)</f>
        <v>13</v>
      </c>
      <c r="U6" s="2">
        <f>VLOOKUP(A6,'March 2022'!$B$2:$C$19,2,FALSE)</f>
        <v>8</v>
      </c>
    </row>
    <row r="7" spans="1:21" x14ac:dyDescent="0.25">
      <c r="A7" s="12" t="s">
        <v>23</v>
      </c>
      <c r="B7" s="1">
        <v>5</v>
      </c>
      <c r="C7" s="1">
        <v>4</v>
      </c>
      <c r="D7" s="1">
        <v>10</v>
      </c>
      <c r="E7" s="1">
        <v>5</v>
      </c>
      <c r="F7" s="1">
        <v>9</v>
      </c>
      <c r="G7" s="1">
        <v>11</v>
      </c>
      <c r="H7" s="1">
        <v>7</v>
      </c>
      <c r="I7" s="1">
        <v>8</v>
      </c>
      <c r="J7" s="1">
        <v>7</v>
      </c>
      <c r="K7" s="1">
        <v>11</v>
      </c>
      <c r="L7" s="1">
        <v>3</v>
      </c>
      <c r="M7" s="1">
        <v>2</v>
      </c>
      <c r="N7" s="1">
        <v>3</v>
      </c>
      <c r="O7" s="1">
        <v>1</v>
      </c>
      <c r="P7" s="1">
        <v>4</v>
      </c>
      <c r="Q7" s="1">
        <v>4</v>
      </c>
      <c r="R7" s="2">
        <v>4</v>
      </c>
      <c r="S7" s="2">
        <f>VLOOKUP(A7,'January 2022'!$B$2:$C$19,2,FALSE)</f>
        <v>6</v>
      </c>
      <c r="T7" s="2">
        <f>VLOOKUP(A7,'February 2022'!$B$2:$C$19,2,FALSE)</f>
        <v>6</v>
      </c>
      <c r="U7" s="2">
        <f>VLOOKUP(A7,'March 2022'!$B$2:$C$19,2,FALSE)</f>
        <v>4</v>
      </c>
    </row>
    <row r="8" spans="1:21" x14ac:dyDescent="0.25">
      <c r="A8" s="12" t="s">
        <v>40</v>
      </c>
      <c r="B8" s="1">
        <v>13</v>
      </c>
      <c r="C8" s="1">
        <v>15</v>
      </c>
      <c r="D8" s="1">
        <v>5</v>
      </c>
      <c r="E8" s="1">
        <v>11</v>
      </c>
      <c r="F8" s="1">
        <v>8</v>
      </c>
      <c r="G8" s="1">
        <v>-1</v>
      </c>
      <c r="H8" s="1">
        <v>11</v>
      </c>
      <c r="I8" s="1">
        <v>7</v>
      </c>
      <c r="J8" s="1">
        <v>12</v>
      </c>
      <c r="K8" s="1">
        <v>9</v>
      </c>
      <c r="L8" s="1">
        <v>9</v>
      </c>
      <c r="M8" s="1">
        <v>5</v>
      </c>
      <c r="N8" s="1">
        <v>10</v>
      </c>
      <c r="O8" s="1">
        <v>4</v>
      </c>
      <c r="P8" s="1">
        <v>13</v>
      </c>
      <c r="Q8" s="1">
        <v>13</v>
      </c>
      <c r="R8" s="2">
        <v>7</v>
      </c>
      <c r="S8" s="2">
        <f>VLOOKUP(A8,'January 2022'!$B$2:$C$19,2,FALSE)</f>
        <v>10</v>
      </c>
      <c r="T8" s="2">
        <f>VLOOKUP(A8,'February 2022'!$B$2:$C$19,2,FALSE)</f>
        <v>8</v>
      </c>
      <c r="U8" s="2">
        <f>VLOOKUP(A8,'March 2022'!$B$2:$C$19,2,FALSE)</f>
        <v>15</v>
      </c>
    </row>
    <row r="9" spans="1:21" x14ac:dyDescent="0.25">
      <c r="A9" s="12" t="s">
        <v>35</v>
      </c>
      <c r="B9" s="1">
        <v>3</v>
      </c>
      <c r="C9" s="1">
        <v>5</v>
      </c>
      <c r="D9" s="1">
        <v>12</v>
      </c>
      <c r="E9" s="1">
        <v>4</v>
      </c>
      <c r="F9" s="1">
        <v>7</v>
      </c>
      <c r="G9" s="1">
        <v>7</v>
      </c>
      <c r="H9" s="1">
        <v>4</v>
      </c>
      <c r="I9" s="1">
        <v>13</v>
      </c>
      <c r="J9" s="1">
        <v>-1</v>
      </c>
      <c r="K9" s="1">
        <v>4</v>
      </c>
      <c r="L9" s="1">
        <v>-1</v>
      </c>
      <c r="M9" s="1">
        <v>0</v>
      </c>
      <c r="N9" s="1">
        <v>4</v>
      </c>
      <c r="O9" s="1">
        <v>-1</v>
      </c>
      <c r="P9" s="1">
        <v>6</v>
      </c>
      <c r="Q9" s="1">
        <v>15</v>
      </c>
      <c r="R9" s="2">
        <v>0</v>
      </c>
      <c r="S9" s="2">
        <f>VLOOKUP(A9,'January 2022'!$B$2:$C$19,2,FALSE)</f>
        <v>-3</v>
      </c>
      <c r="T9" s="2">
        <f>VLOOKUP(A9,'February 2022'!$B$2:$C$19,2,FALSE)</f>
        <v>-2</v>
      </c>
      <c r="U9" s="2">
        <f>VLOOKUP(A9,'March 2022'!$B$2:$C$19,2,FALSE)</f>
        <v>0</v>
      </c>
    </row>
    <row r="10" spans="1:21" x14ac:dyDescent="0.25">
      <c r="A10" s="12" t="s">
        <v>28</v>
      </c>
      <c r="B10" s="1">
        <v>-2</v>
      </c>
      <c r="C10" s="1">
        <v>2</v>
      </c>
      <c r="D10" s="1">
        <v>2</v>
      </c>
      <c r="E10" s="1">
        <v>1</v>
      </c>
      <c r="F10" s="1">
        <v>6</v>
      </c>
      <c r="G10" s="1">
        <v>1</v>
      </c>
      <c r="H10" s="1">
        <v>5</v>
      </c>
      <c r="I10" s="1">
        <v>4</v>
      </c>
      <c r="J10" s="1">
        <v>2</v>
      </c>
      <c r="K10" s="1">
        <v>7</v>
      </c>
      <c r="L10" s="1">
        <v>4</v>
      </c>
      <c r="M10" s="1">
        <v>10</v>
      </c>
      <c r="N10" s="1">
        <v>13</v>
      </c>
      <c r="O10" s="1">
        <v>6</v>
      </c>
      <c r="P10" s="1">
        <v>11</v>
      </c>
      <c r="Q10" s="1">
        <v>3</v>
      </c>
      <c r="R10" s="2">
        <v>3</v>
      </c>
      <c r="S10" s="2">
        <f>VLOOKUP(A10,'January 2022'!$B$2:$C$19,2,FALSE)</f>
        <v>-1</v>
      </c>
      <c r="T10" s="2">
        <f>VLOOKUP(A10,'February 2022'!$B$2:$C$19,2,FALSE)</f>
        <v>2</v>
      </c>
      <c r="U10" s="2">
        <f>VLOOKUP(A10,'March 2022'!$B$2:$C$19,2,FALSE)</f>
        <v>9</v>
      </c>
    </row>
    <row r="11" spans="1:21" x14ac:dyDescent="0.25">
      <c r="A11" s="12" t="s">
        <v>15</v>
      </c>
      <c r="B11" s="1">
        <v>1</v>
      </c>
      <c r="C11" s="1">
        <v>-1</v>
      </c>
      <c r="D11" s="1">
        <v>6</v>
      </c>
      <c r="E11" s="1">
        <v>6</v>
      </c>
      <c r="F11" s="1">
        <v>5</v>
      </c>
      <c r="G11" s="1">
        <v>3</v>
      </c>
      <c r="H11" s="1">
        <v>8</v>
      </c>
      <c r="I11" s="1">
        <v>5</v>
      </c>
      <c r="J11" s="1">
        <v>4</v>
      </c>
      <c r="K11" s="1">
        <v>2</v>
      </c>
      <c r="L11" s="1">
        <v>1</v>
      </c>
      <c r="M11" s="1">
        <v>4</v>
      </c>
      <c r="N11" s="1">
        <v>1</v>
      </c>
      <c r="O11" s="1">
        <v>8</v>
      </c>
      <c r="P11" s="1">
        <v>3</v>
      </c>
      <c r="Q11" s="1">
        <v>5</v>
      </c>
      <c r="R11" s="2">
        <v>6</v>
      </c>
      <c r="S11" s="2">
        <f>VLOOKUP(A11,'January 2022'!$B$2:$C$19,2,FALSE)</f>
        <v>9</v>
      </c>
      <c r="T11" s="2">
        <f>VLOOKUP(A11,'February 2022'!$B$2:$C$19,2,FALSE)</f>
        <v>5</v>
      </c>
      <c r="U11" s="2">
        <f>VLOOKUP(A11,'March 2022'!$B$2:$C$19,2,FALSE)</f>
        <v>3</v>
      </c>
    </row>
    <row r="12" spans="1:21" x14ac:dyDescent="0.25">
      <c r="A12" s="12" t="s">
        <v>16</v>
      </c>
      <c r="B12" s="1">
        <v>-3</v>
      </c>
      <c r="C12" s="1">
        <v>0</v>
      </c>
      <c r="D12" s="1">
        <v>7</v>
      </c>
      <c r="E12" s="1">
        <v>3</v>
      </c>
      <c r="F12" s="1">
        <v>4</v>
      </c>
      <c r="G12" s="1">
        <v>4</v>
      </c>
      <c r="H12" s="1">
        <v>1</v>
      </c>
      <c r="I12" s="1">
        <v>16</v>
      </c>
      <c r="J12" s="1">
        <v>6</v>
      </c>
      <c r="K12" s="1">
        <v>12</v>
      </c>
      <c r="L12" s="1">
        <v>8</v>
      </c>
      <c r="M12" s="1">
        <v>1</v>
      </c>
      <c r="N12" s="1">
        <v>12</v>
      </c>
      <c r="O12" s="1">
        <v>9</v>
      </c>
      <c r="P12" s="1">
        <v>1</v>
      </c>
      <c r="Q12" s="1">
        <v>11</v>
      </c>
      <c r="R12" s="2">
        <v>-1</v>
      </c>
      <c r="S12" s="2">
        <f>VLOOKUP(A12,'January 2022'!$B$2:$C$19,2,FALSE)</f>
        <v>5</v>
      </c>
      <c r="T12" s="2">
        <f>VLOOKUP(A12,'February 2022'!$B$2:$C$19,2,FALSE)</f>
        <v>9</v>
      </c>
      <c r="U12" s="2">
        <f>VLOOKUP(A12,'March 2022'!$B$2:$C$19,2,FALSE)</f>
        <v>2</v>
      </c>
    </row>
    <row r="13" spans="1:21" x14ac:dyDescent="0.25">
      <c r="A13" s="12" t="s">
        <v>34</v>
      </c>
      <c r="B13" s="1">
        <v>6</v>
      </c>
      <c r="C13" s="1">
        <v>7</v>
      </c>
      <c r="D13" s="1">
        <v>-1</v>
      </c>
      <c r="E13" s="1">
        <v>2</v>
      </c>
      <c r="F13" s="1">
        <v>3</v>
      </c>
      <c r="G13" s="1">
        <v>2</v>
      </c>
      <c r="H13" s="1">
        <v>12</v>
      </c>
      <c r="I13" s="1">
        <v>9</v>
      </c>
      <c r="J13" s="1">
        <v>11</v>
      </c>
      <c r="K13" s="1">
        <v>3</v>
      </c>
      <c r="L13" s="1">
        <v>5</v>
      </c>
      <c r="M13" s="1">
        <v>8</v>
      </c>
      <c r="N13" s="1">
        <v>9</v>
      </c>
      <c r="O13" s="1">
        <v>3</v>
      </c>
      <c r="P13" s="1">
        <v>2</v>
      </c>
      <c r="Q13" s="1">
        <v>10</v>
      </c>
      <c r="R13" s="2">
        <v>5</v>
      </c>
      <c r="S13" s="2">
        <f>VLOOKUP(A13,'January 2022'!$B$2:$C$19,2,FALSE)</f>
        <v>12</v>
      </c>
      <c r="T13" s="2">
        <f>VLOOKUP(A13,'February 2022'!$B$2:$C$19,2,FALSE)</f>
        <v>4</v>
      </c>
      <c r="U13" s="2">
        <f>VLOOKUP(A13,'March 2022'!$B$2:$C$19,2,FALSE)</f>
        <v>7</v>
      </c>
    </row>
    <row r="14" spans="1:21" x14ac:dyDescent="0.25">
      <c r="A14" s="12" t="s">
        <v>20</v>
      </c>
      <c r="B14" s="1">
        <v>9</v>
      </c>
      <c r="C14" s="1">
        <v>8</v>
      </c>
      <c r="D14" s="1">
        <v>15</v>
      </c>
      <c r="E14" s="1">
        <v>9</v>
      </c>
      <c r="F14" s="1">
        <v>2</v>
      </c>
      <c r="G14" s="1">
        <v>13</v>
      </c>
      <c r="H14" s="1">
        <v>14</v>
      </c>
      <c r="I14" s="1">
        <v>14</v>
      </c>
      <c r="J14" s="1">
        <v>14</v>
      </c>
      <c r="K14" s="1">
        <v>16</v>
      </c>
      <c r="L14" s="1">
        <v>7</v>
      </c>
      <c r="M14" s="1">
        <v>7</v>
      </c>
      <c r="N14" s="1">
        <v>15</v>
      </c>
      <c r="O14" s="1">
        <v>10</v>
      </c>
      <c r="P14" s="1">
        <v>12</v>
      </c>
      <c r="Q14" s="1">
        <v>9</v>
      </c>
      <c r="R14" s="2">
        <v>14</v>
      </c>
      <c r="S14" s="2">
        <f>VLOOKUP(A14,'January 2022'!$B$2:$C$19,2,FALSE)</f>
        <v>15</v>
      </c>
      <c r="T14" s="2">
        <f>VLOOKUP(A14,'February 2022'!$B$2:$C$19,2,FALSE)</f>
        <v>14</v>
      </c>
      <c r="U14" s="2">
        <f>VLOOKUP(A14,'March 2022'!$B$2:$C$19,2,FALSE)</f>
        <v>14</v>
      </c>
    </row>
    <row r="15" spans="1:21" x14ac:dyDescent="0.25">
      <c r="A15" s="12" t="s">
        <v>27</v>
      </c>
      <c r="B15" s="1">
        <v>4</v>
      </c>
      <c r="C15" s="1">
        <v>6</v>
      </c>
      <c r="D15" s="1">
        <v>11</v>
      </c>
      <c r="E15" s="1">
        <v>-1</v>
      </c>
      <c r="F15" s="1">
        <v>1</v>
      </c>
      <c r="G15" s="1">
        <v>-3</v>
      </c>
      <c r="H15" s="1">
        <v>3</v>
      </c>
      <c r="I15" s="1">
        <v>2</v>
      </c>
      <c r="J15" s="1">
        <v>3</v>
      </c>
      <c r="K15" s="1">
        <v>1</v>
      </c>
      <c r="L15" s="1">
        <v>2</v>
      </c>
      <c r="M15" s="1">
        <v>3</v>
      </c>
      <c r="N15" s="1">
        <v>14</v>
      </c>
      <c r="O15" s="1">
        <v>14</v>
      </c>
      <c r="P15" s="1">
        <v>10</v>
      </c>
      <c r="Q15" s="1">
        <v>2</v>
      </c>
      <c r="R15" s="2">
        <v>1</v>
      </c>
      <c r="S15" s="2">
        <f>VLOOKUP(A15,'January 2022'!$B$2:$C$19,2,FALSE)</f>
        <v>7</v>
      </c>
      <c r="T15" s="2">
        <f>VLOOKUP(A15,'February 2022'!$B$2:$C$19,2,FALSE)</f>
        <v>12</v>
      </c>
      <c r="U15" s="2">
        <f>VLOOKUP(A15,'March 2022'!$B$2:$C$19,2,FALSE)</f>
        <v>17</v>
      </c>
    </row>
    <row r="16" spans="1:21" x14ac:dyDescent="0.25">
      <c r="A16" s="12" t="s">
        <v>1</v>
      </c>
      <c r="B16" s="1">
        <v>15</v>
      </c>
      <c r="C16" s="1">
        <v>16</v>
      </c>
      <c r="D16" s="1">
        <v>-2</v>
      </c>
      <c r="E16" s="1">
        <v>-4</v>
      </c>
      <c r="F16" s="1">
        <v>-4</v>
      </c>
      <c r="G16" s="1">
        <v>-4</v>
      </c>
      <c r="H16" s="1">
        <v>13</v>
      </c>
      <c r="I16" s="1">
        <v>18</v>
      </c>
      <c r="J16" s="1">
        <v>17</v>
      </c>
      <c r="K16" s="1">
        <v>15</v>
      </c>
      <c r="L16" s="1">
        <v>16</v>
      </c>
      <c r="M16" s="1">
        <v>17</v>
      </c>
      <c r="N16" s="1">
        <v>-1</v>
      </c>
      <c r="O16" s="1">
        <v>16</v>
      </c>
      <c r="P16" s="1">
        <v>15</v>
      </c>
      <c r="Q16" s="1">
        <v>7</v>
      </c>
      <c r="R16" s="2">
        <v>8</v>
      </c>
      <c r="S16" s="2">
        <f>VLOOKUP(A16,'January 2022'!$B$2:$C$19,2,FALSE)</f>
        <v>-2</v>
      </c>
      <c r="T16" s="2">
        <f>VLOOKUP(A16,'February 2022'!$B$2:$C$19,2,FALSE)</f>
        <v>-3</v>
      </c>
      <c r="U16" s="2">
        <f>VLOOKUP(A16,'March 2022'!$B$2:$C$19,2,FALSE)</f>
        <v>16</v>
      </c>
    </row>
    <row r="17" spans="1:21" x14ac:dyDescent="0.25">
      <c r="A17" s="12" t="s">
        <v>31</v>
      </c>
      <c r="B17" s="1">
        <v>12</v>
      </c>
      <c r="C17" s="1">
        <v>9</v>
      </c>
      <c r="D17" s="1">
        <v>14</v>
      </c>
      <c r="E17" s="1">
        <v>10</v>
      </c>
      <c r="F17" s="1">
        <v>-3</v>
      </c>
      <c r="G17" s="1">
        <v>6</v>
      </c>
      <c r="H17" s="1">
        <v>17</v>
      </c>
      <c r="I17" s="1">
        <v>12</v>
      </c>
      <c r="J17" s="1">
        <v>1</v>
      </c>
      <c r="K17" s="1">
        <v>6</v>
      </c>
      <c r="L17" s="1">
        <v>10</v>
      </c>
      <c r="M17" s="1">
        <v>15</v>
      </c>
      <c r="N17" s="1">
        <v>17</v>
      </c>
      <c r="O17" s="1">
        <v>11</v>
      </c>
      <c r="P17" s="1">
        <v>8</v>
      </c>
      <c r="Q17" s="1">
        <v>1</v>
      </c>
      <c r="R17" s="2">
        <v>16</v>
      </c>
      <c r="S17" s="2">
        <f>VLOOKUP(A17,'January 2022'!$B$2:$C$19,2,FALSE)</f>
        <v>1</v>
      </c>
      <c r="T17" s="2">
        <f>VLOOKUP(A17,'February 2022'!$B$2:$C$19,2,FALSE)</f>
        <v>-1</v>
      </c>
      <c r="U17" s="2">
        <f>VLOOKUP(A17,'March 2022'!$B$2:$C$19,2,FALSE)</f>
        <v>12</v>
      </c>
    </row>
    <row r="18" spans="1:21" x14ac:dyDescent="0.25">
      <c r="A18" s="12" t="s">
        <v>18</v>
      </c>
      <c r="B18" s="1">
        <v>-1</v>
      </c>
      <c r="C18" s="1">
        <v>1</v>
      </c>
      <c r="D18" s="1">
        <v>1</v>
      </c>
      <c r="E18" s="1">
        <v>-3</v>
      </c>
      <c r="F18" s="1">
        <v>-2</v>
      </c>
      <c r="G18" s="1">
        <v>5</v>
      </c>
      <c r="H18" s="1">
        <v>2</v>
      </c>
      <c r="I18" s="1">
        <v>1</v>
      </c>
      <c r="J18" s="1">
        <v>8</v>
      </c>
      <c r="K18" s="1">
        <v>8</v>
      </c>
      <c r="L18" s="1">
        <v>15</v>
      </c>
      <c r="M18" s="1">
        <v>9</v>
      </c>
      <c r="N18" s="1">
        <v>11</v>
      </c>
      <c r="O18" s="1">
        <v>7</v>
      </c>
      <c r="P18" s="1">
        <v>14</v>
      </c>
      <c r="Q18" s="1">
        <v>6</v>
      </c>
      <c r="R18" s="2">
        <v>10</v>
      </c>
      <c r="S18" s="2">
        <f>VLOOKUP(A18,'January 2022'!$B$2:$C$19,2,FALSE)</f>
        <v>8</v>
      </c>
      <c r="T18" s="2">
        <f>VLOOKUP(A18,'February 2022'!$B$2:$C$19,2,FALSE)</f>
        <v>1</v>
      </c>
      <c r="U18" s="2">
        <f>VLOOKUP(A18,'March 2022'!$B$2:$C$19,2,FALSE)</f>
        <v>11</v>
      </c>
    </row>
    <row r="19" spans="1:21" x14ac:dyDescent="0.25">
      <c r="A19" s="12" t="s">
        <v>29</v>
      </c>
      <c r="B19" s="1">
        <v>2</v>
      </c>
      <c r="C19" s="1">
        <v>10</v>
      </c>
      <c r="D19" s="1">
        <v>3</v>
      </c>
      <c r="E19" s="1">
        <v>-2</v>
      </c>
      <c r="F19" s="1">
        <v>-1</v>
      </c>
      <c r="G19" s="1">
        <v>14</v>
      </c>
      <c r="H19" s="1">
        <v>-1</v>
      </c>
      <c r="I19" s="1">
        <v>11</v>
      </c>
      <c r="J19" s="1">
        <v>13</v>
      </c>
      <c r="K19" s="1">
        <v>13</v>
      </c>
      <c r="L19" s="1">
        <v>-2</v>
      </c>
      <c r="M19" s="1">
        <v>12</v>
      </c>
      <c r="N19" s="1">
        <v>2</v>
      </c>
      <c r="O19" s="1">
        <v>12</v>
      </c>
      <c r="P19" s="1">
        <v>16</v>
      </c>
      <c r="Q19" s="1">
        <v>18</v>
      </c>
      <c r="R19" s="2">
        <v>2</v>
      </c>
      <c r="S19" s="2">
        <f>VLOOKUP(A19,'January 2022'!$B$2:$C$19,2,FALSE)</f>
        <v>11</v>
      </c>
      <c r="T19" s="2">
        <f>VLOOKUP(A19,'February 2022'!$B$2:$C$19,2,FALSE)</f>
        <v>-4</v>
      </c>
      <c r="U19" s="2">
        <f>VLOOKUP(A19,'March 2022'!$B$2:$C$19,2,FALSE)</f>
        <v>10</v>
      </c>
    </row>
    <row r="21" spans="1:21" ht="18.75" x14ac:dyDescent="0.3">
      <c r="A21" s="13" t="s">
        <v>19</v>
      </c>
      <c r="B21" s="9" t="s">
        <v>54</v>
      </c>
      <c r="C21" s="9" t="s">
        <v>55</v>
      </c>
      <c r="D21" s="9" t="s">
        <v>56</v>
      </c>
      <c r="E21" s="9" t="s">
        <v>57</v>
      </c>
      <c r="F21" s="9" t="s">
        <v>58</v>
      </c>
      <c r="G21" s="10">
        <v>44197</v>
      </c>
      <c r="H21" s="11">
        <v>44248</v>
      </c>
      <c r="I21" s="11">
        <v>44276</v>
      </c>
      <c r="J21" s="11">
        <v>44307</v>
      </c>
      <c r="K21" s="11">
        <v>44337</v>
      </c>
      <c r="L21" s="11">
        <v>44368</v>
      </c>
      <c r="M21" s="11">
        <v>44398</v>
      </c>
      <c r="N21" s="11">
        <v>44429</v>
      </c>
      <c r="O21" s="11">
        <v>44460</v>
      </c>
      <c r="P21" s="11">
        <v>44490</v>
      </c>
      <c r="Q21" s="11">
        <v>44521</v>
      </c>
      <c r="R21" s="30">
        <v>44916</v>
      </c>
      <c r="S21" s="11" t="s">
        <v>3811</v>
      </c>
      <c r="T21" s="30" t="s">
        <v>3812</v>
      </c>
      <c r="U21" s="11" t="s">
        <v>3813</v>
      </c>
    </row>
    <row r="22" spans="1:21" x14ac:dyDescent="0.25">
      <c r="A22" s="12" t="s">
        <v>41</v>
      </c>
      <c r="B22" s="1">
        <v>6</v>
      </c>
      <c r="C22" s="1">
        <v>8</v>
      </c>
      <c r="D22" s="1">
        <v>11</v>
      </c>
      <c r="E22" s="1">
        <v>12</v>
      </c>
      <c r="F22" s="1">
        <v>10</v>
      </c>
      <c r="G22" s="1">
        <v>0</v>
      </c>
      <c r="H22" s="1">
        <v>5</v>
      </c>
      <c r="I22" s="1">
        <v>15</v>
      </c>
      <c r="J22" s="1">
        <v>15</v>
      </c>
      <c r="K22" s="1">
        <v>9</v>
      </c>
      <c r="L22" s="1">
        <v>15</v>
      </c>
      <c r="M22" s="1">
        <v>14</v>
      </c>
      <c r="N22" s="1">
        <v>0</v>
      </c>
      <c r="O22" s="1">
        <v>7</v>
      </c>
      <c r="P22" s="1">
        <v>10</v>
      </c>
      <c r="Q22" s="1">
        <v>16</v>
      </c>
      <c r="R22" s="2">
        <v>9</v>
      </c>
      <c r="S22" s="2">
        <f>VLOOKUP(A22,'January 2022'!$B$22:$C$35,2,FALSE)</f>
        <v>6</v>
      </c>
      <c r="T22" s="2">
        <f>VLOOKUP(A22,'February 2022'!$B$22:$C$35,2,FALSE)</f>
        <v>11</v>
      </c>
      <c r="U22" s="2">
        <f>VLOOKUP(A22,'March 2022'!$B$22:$C$38,2,FALSE)</f>
        <v>12</v>
      </c>
    </row>
    <row r="23" spans="1:21" x14ac:dyDescent="0.25">
      <c r="A23" s="12" t="s">
        <v>36</v>
      </c>
      <c r="B23" s="1">
        <v>5</v>
      </c>
      <c r="C23" s="1">
        <v>10</v>
      </c>
      <c r="D23" s="1">
        <v>3</v>
      </c>
      <c r="E23" s="1">
        <v>2</v>
      </c>
      <c r="F23" s="1">
        <v>6</v>
      </c>
      <c r="G23" s="1">
        <v>5</v>
      </c>
      <c r="H23" s="1">
        <v>11</v>
      </c>
      <c r="I23" s="1">
        <v>14</v>
      </c>
      <c r="J23" s="1">
        <v>16</v>
      </c>
      <c r="K23" s="1">
        <v>17</v>
      </c>
      <c r="L23" s="1">
        <v>12</v>
      </c>
      <c r="M23" s="1">
        <v>15</v>
      </c>
      <c r="N23" s="1">
        <v>-1</v>
      </c>
      <c r="O23" s="1">
        <v>1</v>
      </c>
      <c r="P23" s="1">
        <v>6</v>
      </c>
      <c r="Q23" s="1">
        <v>14</v>
      </c>
      <c r="R23" s="2">
        <v>11</v>
      </c>
      <c r="S23" s="2">
        <f>VLOOKUP(A23,'January 2022'!$B$22:$C$35,2,FALSE)</f>
        <v>-1</v>
      </c>
      <c r="T23" s="2">
        <f>VLOOKUP(A23,'February 2022'!$B$22:$C$35,2,FALSE)</f>
        <v>3</v>
      </c>
      <c r="U23" s="2">
        <f>VLOOKUP(A23,'March 2022'!$B$22:$C$38,2,FALSE)</f>
        <v>13</v>
      </c>
    </row>
    <row r="24" spans="1:21" x14ac:dyDescent="0.25">
      <c r="A24" s="12" t="s">
        <v>25</v>
      </c>
      <c r="B24" s="1"/>
      <c r="C24" s="1">
        <v>-1</v>
      </c>
      <c r="D24" s="1">
        <v>4</v>
      </c>
      <c r="E24" s="1">
        <v>6</v>
      </c>
      <c r="F24" s="1">
        <v>9</v>
      </c>
      <c r="G24" s="1">
        <v>0</v>
      </c>
      <c r="H24" s="1">
        <v>0</v>
      </c>
      <c r="I24" s="1">
        <v>8</v>
      </c>
      <c r="J24" s="1">
        <v>12</v>
      </c>
      <c r="K24" s="1">
        <v>18</v>
      </c>
      <c r="L24" s="1">
        <v>11</v>
      </c>
      <c r="M24" s="1">
        <v>7</v>
      </c>
      <c r="N24" s="1">
        <v>11</v>
      </c>
      <c r="O24" s="1">
        <v>17</v>
      </c>
      <c r="P24" s="1">
        <v>16</v>
      </c>
      <c r="Q24" s="1">
        <v>17</v>
      </c>
      <c r="R24" s="2">
        <v>6</v>
      </c>
      <c r="S24" s="2">
        <f>VLOOKUP(A24,'January 2022'!$B$22:$C$35,2,FALSE)</f>
        <v>10</v>
      </c>
      <c r="T24" s="2">
        <f>VLOOKUP(A24,'February 2022'!$B$22:$C$35,2,FALSE)</f>
        <v>1</v>
      </c>
      <c r="U24" s="2">
        <v>0</v>
      </c>
    </row>
    <row r="25" spans="1:21" x14ac:dyDescent="0.25">
      <c r="A25" s="12" t="s">
        <v>43</v>
      </c>
      <c r="B25" s="1">
        <v>8</v>
      </c>
      <c r="C25" s="1">
        <v>11</v>
      </c>
      <c r="D25" s="1">
        <v>13</v>
      </c>
      <c r="E25" s="1">
        <v>10</v>
      </c>
      <c r="F25" s="1">
        <v>8</v>
      </c>
      <c r="G25" s="1">
        <v>0</v>
      </c>
      <c r="H25" s="1">
        <v>1</v>
      </c>
      <c r="I25" s="1">
        <v>10</v>
      </c>
      <c r="J25" s="1">
        <v>5</v>
      </c>
      <c r="K25" s="1">
        <v>12</v>
      </c>
      <c r="L25" s="1">
        <v>7</v>
      </c>
      <c r="M25" s="1">
        <v>9</v>
      </c>
      <c r="N25" s="1">
        <v>6</v>
      </c>
      <c r="O25" s="1">
        <v>5</v>
      </c>
      <c r="P25" s="1">
        <v>7</v>
      </c>
      <c r="Q25" s="1">
        <v>12</v>
      </c>
      <c r="R25" s="2">
        <v>5</v>
      </c>
      <c r="S25" s="2">
        <f>VLOOKUP(A25,'January 2022'!$B$22:$C$35,2,FALSE)</f>
        <v>7</v>
      </c>
      <c r="T25" s="2">
        <v>0</v>
      </c>
      <c r="U25" s="2">
        <f>VLOOKUP(A25,'March 2022'!$B$22:$C$38,2,FALSE)</f>
        <v>-1</v>
      </c>
    </row>
    <row r="26" spans="1:21" x14ac:dyDescent="0.25">
      <c r="A26" s="12" t="s">
        <v>38</v>
      </c>
      <c r="B26" s="1">
        <v>2</v>
      </c>
      <c r="C26" s="1">
        <v>6</v>
      </c>
      <c r="D26" s="1">
        <v>15</v>
      </c>
      <c r="E26" s="1">
        <v>13</v>
      </c>
      <c r="F26" s="1">
        <v>7</v>
      </c>
      <c r="G26" s="1">
        <v>3</v>
      </c>
      <c r="H26" s="1">
        <v>7</v>
      </c>
      <c r="I26" s="1">
        <v>7</v>
      </c>
      <c r="J26" s="1">
        <v>9</v>
      </c>
      <c r="K26" s="1">
        <v>15</v>
      </c>
      <c r="L26" s="1">
        <v>14</v>
      </c>
      <c r="M26" s="1">
        <v>6</v>
      </c>
      <c r="N26" s="1">
        <v>2</v>
      </c>
      <c r="O26" s="1">
        <v>10</v>
      </c>
      <c r="P26" s="1">
        <v>15</v>
      </c>
      <c r="Q26" s="1">
        <v>18</v>
      </c>
      <c r="R26" s="2">
        <v>10</v>
      </c>
      <c r="S26" s="2">
        <f>VLOOKUP(A26,'January 2022'!$B$22:$C$35,2,FALSE)</f>
        <v>2</v>
      </c>
      <c r="T26" s="2">
        <f>VLOOKUP(A26,'February 2022'!$B$22:$C$35,2,FALSE)</f>
        <v>6</v>
      </c>
      <c r="U26" s="2">
        <f>VLOOKUP(A26,'March 2022'!$B$22:$C$38,2,FALSE)</f>
        <v>1</v>
      </c>
    </row>
    <row r="27" spans="1:21" x14ac:dyDescent="0.25">
      <c r="A27" s="12" t="s">
        <v>23</v>
      </c>
      <c r="B27" s="1">
        <v>4</v>
      </c>
      <c r="C27" s="1">
        <v>2</v>
      </c>
      <c r="D27" s="1">
        <v>9</v>
      </c>
      <c r="E27" s="1">
        <v>9</v>
      </c>
      <c r="F27" s="1">
        <v>5</v>
      </c>
      <c r="G27" s="1">
        <v>7</v>
      </c>
      <c r="H27" s="1">
        <v>2</v>
      </c>
      <c r="I27" s="1">
        <v>4</v>
      </c>
      <c r="J27" s="1">
        <v>4</v>
      </c>
      <c r="K27" s="1">
        <v>16</v>
      </c>
      <c r="L27" s="1">
        <v>5</v>
      </c>
      <c r="M27" s="1">
        <v>5</v>
      </c>
      <c r="N27" s="1">
        <v>5</v>
      </c>
      <c r="O27" s="1">
        <v>3</v>
      </c>
      <c r="P27" s="1">
        <v>3</v>
      </c>
      <c r="Q27" s="1">
        <v>5</v>
      </c>
      <c r="R27" s="2">
        <v>4</v>
      </c>
      <c r="S27" s="2">
        <f>VLOOKUP(A27,'January 2022'!$B$22:$C$35,2,FALSE)</f>
        <v>3</v>
      </c>
      <c r="T27" s="2">
        <f>VLOOKUP(A27,'February 2022'!$B$22:$C$35,2,FALSE)</f>
        <v>5</v>
      </c>
      <c r="U27" s="2">
        <f>VLOOKUP(A27,'March 2022'!$B$22:$C$38,2,FALSE)</f>
        <v>3</v>
      </c>
    </row>
    <row r="28" spans="1:21" x14ac:dyDescent="0.25">
      <c r="A28" s="12" t="s">
        <v>40</v>
      </c>
      <c r="B28" s="1">
        <v>11</v>
      </c>
      <c r="C28" s="1">
        <v>12</v>
      </c>
      <c r="D28" s="1">
        <v>2</v>
      </c>
      <c r="E28" s="1">
        <v>5</v>
      </c>
      <c r="F28" s="1">
        <v>0</v>
      </c>
      <c r="G28" s="1">
        <v>0</v>
      </c>
      <c r="H28" s="1">
        <v>4</v>
      </c>
      <c r="I28" s="1">
        <v>12</v>
      </c>
      <c r="J28" s="1">
        <v>13</v>
      </c>
      <c r="K28" s="1">
        <v>6</v>
      </c>
      <c r="L28" s="1">
        <v>8</v>
      </c>
      <c r="M28" s="1">
        <v>8</v>
      </c>
      <c r="N28" s="1">
        <v>3</v>
      </c>
      <c r="O28" s="1">
        <v>6</v>
      </c>
      <c r="P28" s="1">
        <v>12</v>
      </c>
      <c r="Q28" s="1">
        <v>6</v>
      </c>
      <c r="R28" s="2">
        <v>2</v>
      </c>
      <c r="S28" s="2">
        <f>VLOOKUP(A28,'January 2022'!$B$22:$C$35,2,FALSE)</f>
        <v>5</v>
      </c>
      <c r="T28" s="2">
        <f>VLOOKUP(A28,'February 2022'!$B$22:$C$35,2,FALSE)</f>
        <v>8</v>
      </c>
      <c r="U28" s="2">
        <f>VLOOKUP(A28,'March 2022'!$B$22:$C$38,2,FALSE)</f>
        <v>10</v>
      </c>
    </row>
    <row r="29" spans="1:21" x14ac:dyDescent="0.25">
      <c r="A29" s="12" t="s">
        <v>35</v>
      </c>
      <c r="B29" s="1">
        <v>-4</v>
      </c>
      <c r="C29" s="1">
        <v>-2</v>
      </c>
      <c r="D29" s="1">
        <v>8</v>
      </c>
      <c r="E29" s="1">
        <v>0</v>
      </c>
      <c r="F29" s="1">
        <v>-3</v>
      </c>
      <c r="G29" s="1">
        <v>6</v>
      </c>
      <c r="H29" s="1">
        <v>0</v>
      </c>
      <c r="I29" s="1">
        <v>6</v>
      </c>
      <c r="J29" s="1">
        <v>-1</v>
      </c>
      <c r="K29" s="1">
        <v>5</v>
      </c>
      <c r="L29" s="1">
        <v>-1</v>
      </c>
      <c r="M29" s="1">
        <v>0</v>
      </c>
      <c r="N29" s="1">
        <v>0</v>
      </c>
      <c r="O29" s="1">
        <v>-1</v>
      </c>
      <c r="P29" s="1">
        <v>0</v>
      </c>
      <c r="Q29" s="1">
        <v>10</v>
      </c>
      <c r="R29" s="2">
        <v>-2</v>
      </c>
      <c r="S29" s="2">
        <v>0</v>
      </c>
      <c r="T29" s="2">
        <v>0</v>
      </c>
      <c r="U29" s="2">
        <f>VLOOKUP(A29,'March 2022'!$B$22:$C$38,2,FALSE)</f>
        <v>-2</v>
      </c>
    </row>
    <row r="30" spans="1:21" x14ac:dyDescent="0.25">
      <c r="A30" s="12" t="s">
        <v>28</v>
      </c>
      <c r="B30" s="1">
        <v>-2</v>
      </c>
      <c r="C30" s="1">
        <v>1</v>
      </c>
      <c r="D30" s="1">
        <v>1</v>
      </c>
      <c r="E30" s="1">
        <v>-1</v>
      </c>
      <c r="F30" s="1">
        <v>4</v>
      </c>
      <c r="G30" s="1">
        <v>2</v>
      </c>
      <c r="H30" s="1">
        <v>0</v>
      </c>
      <c r="I30" s="1">
        <v>2</v>
      </c>
      <c r="J30" s="1">
        <v>2</v>
      </c>
      <c r="K30" s="1">
        <v>10</v>
      </c>
      <c r="L30" s="1">
        <v>6</v>
      </c>
      <c r="M30" s="1">
        <v>3</v>
      </c>
      <c r="N30" s="1">
        <v>13</v>
      </c>
      <c r="O30" s="1">
        <v>4</v>
      </c>
      <c r="P30" s="1">
        <v>11</v>
      </c>
      <c r="Q30" s="1">
        <v>2</v>
      </c>
      <c r="R30" s="2">
        <v>0</v>
      </c>
      <c r="S30" s="2">
        <f>VLOOKUP(A30,'January 2022'!$B$22:$C$35,2,FALSE)</f>
        <v>-2</v>
      </c>
      <c r="T30" s="2">
        <f>VLOOKUP(A30,'February 2022'!$B$22:$C$35,2,FALSE)</f>
        <v>-1</v>
      </c>
      <c r="U30" s="2">
        <f>VLOOKUP(A30,'March 2022'!$B$22:$C$38,2,FALSE)</f>
        <v>6</v>
      </c>
    </row>
    <row r="31" spans="1:21" x14ac:dyDescent="0.25">
      <c r="A31" s="12" t="s">
        <v>15</v>
      </c>
      <c r="B31" s="1">
        <v>-1</v>
      </c>
      <c r="C31" s="1">
        <v>0</v>
      </c>
      <c r="D31" s="1">
        <v>6</v>
      </c>
      <c r="E31" s="1">
        <v>8</v>
      </c>
      <c r="F31" s="1">
        <v>1</v>
      </c>
      <c r="G31" s="1">
        <v>1</v>
      </c>
      <c r="H31" s="1">
        <v>6</v>
      </c>
      <c r="I31" s="1">
        <v>9</v>
      </c>
      <c r="J31" s="1">
        <v>3</v>
      </c>
      <c r="K31" s="1">
        <v>2</v>
      </c>
      <c r="L31" s="1">
        <v>2</v>
      </c>
      <c r="M31" s="1">
        <v>2</v>
      </c>
      <c r="N31" s="1">
        <v>1</v>
      </c>
      <c r="O31" s="1">
        <v>12</v>
      </c>
      <c r="P31" s="1">
        <v>2</v>
      </c>
      <c r="Q31" s="1">
        <v>4</v>
      </c>
      <c r="R31" s="2">
        <v>3</v>
      </c>
      <c r="S31" s="2">
        <f>VLOOKUP(A31,'January 2022'!$B$22:$C$35,2,FALSE)</f>
        <v>4</v>
      </c>
      <c r="T31" s="2">
        <f>VLOOKUP(A31,'February 2022'!$B$22:$C$35,2,FALSE)</f>
        <v>2</v>
      </c>
      <c r="U31" s="2">
        <f>VLOOKUP(A31,'March 2022'!$B$22:$C$38,2,FALSE)</f>
        <v>4</v>
      </c>
    </row>
    <row r="32" spans="1:21" x14ac:dyDescent="0.25">
      <c r="A32" s="12" t="s">
        <v>16</v>
      </c>
      <c r="B32" s="1">
        <v>-5</v>
      </c>
      <c r="C32" s="1">
        <v>4</v>
      </c>
      <c r="D32" s="1">
        <v>7</v>
      </c>
      <c r="E32" s="1">
        <v>11</v>
      </c>
      <c r="F32" s="1">
        <v>0</v>
      </c>
      <c r="G32" s="1">
        <v>0</v>
      </c>
      <c r="H32" s="1">
        <v>0</v>
      </c>
      <c r="I32" s="1">
        <v>16</v>
      </c>
      <c r="J32" s="1">
        <v>8</v>
      </c>
      <c r="K32" s="1">
        <v>14</v>
      </c>
      <c r="L32" s="1">
        <v>9</v>
      </c>
      <c r="M32" s="1">
        <v>-1</v>
      </c>
      <c r="N32" s="1">
        <v>7</v>
      </c>
      <c r="O32" s="1">
        <v>11</v>
      </c>
      <c r="P32" s="1">
        <v>0</v>
      </c>
      <c r="Q32" s="1">
        <v>13</v>
      </c>
      <c r="R32" s="2">
        <v>-3</v>
      </c>
      <c r="S32" s="2">
        <v>0</v>
      </c>
      <c r="T32" s="2">
        <f>VLOOKUP(A32,'February 2022'!$B$22:$C$35,2,FALSE)</f>
        <v>7</v>
      </c>
      <c r="U32" s="2">
        <f>VLOOKUP(A32,'March 2022'!$B$22:$C$38,2,FALSE)</f>
        <v>9</v>
      </c>
    </row>
    <row r="33" spans="1:21" x14ac:dyDescent="0.25">
      <c r="A33" s="12" t="s">
        <v>34</v>
      </c>
      <c r="B33" s="1">
        <v>10</v>
      </c>
      <c r="C33" s="1">
        <v>3</v>
      </c>
      <c r="D33" s="1">
        <v>0</v>
      </c>
      <c r="E33" s="1">
        <v>1</v>
      </c>
      <c r="F33" s="1">
        <v>2</v>
      </c>
      <c r="G33" s="1">
        <v>0</v>
      </c>
      <c r="H33" s="1">
        <v>8</v>
      </c>
      <c r="I33" s="1">
        <v>11</v>
      </c>
      <c r="J33" s="1">
        <v>11</v>
      </c>
      <c r="K33" s="1">
        <v>1</v>
      </c>
      <c r="L33" s="1">
        <v>4</v>
      </c>
      <c r="M33" s="1">
        <v>11</v>
      </c>
      <c r="N33" s="1">
        <v>4</v>
      </c>
      <c r="O33" s="1">
        <v>9</v>
      </c>
      <c r="P33" s="1">
        <v>1</v>
      </c>
      <c r="Q33" s="1">
        <v>11</v>
      </c>
      <c r="R33" s="2">
        <v>1</v>
      </c>
      <c r="S33" s="2">
        <f>VLOOKUP(A33,'January 2022'!$B$22:$C$35,2,FALSE)</f>
        <v>8</v>
      </c>
      <c r="T33" s="2">
        <f>VLOOKUP(A33,'February 2022'!$B$22:$C$35,2,FALSE)</f>
        <v>4</v>
      </c>
      <c r="U33" s="2">
        <f>VLOOKUP(A33,'March 2022'!$B$22:$C$38,2,FALSE)</f>
        <v>2</v>
      </c>
    </row>
    <row r="34" spans="1:21" x14ac:dyDescent="0.25">
      <c r="A34" s="12" t="s">
        <v>20</v>
      </c>
      <c r="B34" s="1">
        <v>1</v>
      </c>
      <c r="C34" s="1">
        <v>0</v>
      </c>
      <c r="D34" s="1">
        <v>14</v>
      </c>
      <c r="E34" s="1">
        <v>7</v>
      </c>
      <c r="F34" s="1">
        <v>3</v>
      </c>
      <c r="G34" s="1">
        <v>4</v>
      </c>
      <c r="H34" s="1">
        <v>9</v>
      </c>
      <c r="I34" s="1">
        <v>3</v>
      </c>
      <c r="J34" s="1">
        <v>7</v>
      </c>
      <c r="K34" s="1">
        <v>13</v>
      </c>
      <c r="L34" s="1">
        <v>1</v>
      </c>
      <c r="M34" s="1">
        <v>1</v>
      </c>
      <c r="N34" s="1">
        <v>9</v>
      </c>
      <c r="O34" s="1">
        <v>8</v>
      </c>
      <c r="P34" s="1">
        <v>5</v>
      </c>
      <c r="Q34" s="1">
        <v>15</v>
      </c>
      <c r="R34" s="2">
        <v>0</v>
      </c>
      <c r="S34" s="2">
        <f>VLOOKUP(A34,'January 2022'!$B$22:$C$35,2,FALSE)</f>
        <v>9</v>
      </c>
      <c r="T34" s="2">
        <f>VLOOKUP(A34,'February 2022'!$B$22:$C$35,2,FALSE)</f>
        <v>10</v>
      </c>
      <c r="U34" s="2">
        <f>VLOOKUP(A34,'March 2022'!$B$22:$C$38,2,FALSE)</f>
        <v>7</v>
      </c>
    </row>
    <row r="35" spans="1:21" x14ac:dyDescent="0.25">
      <c r="A35" s="12" t="s">
        <v>27</v>
      </c>
      <c r="B35" s="1">
        <v>7</v>
      </c>
      <c r="C35" s="1">
        <v>9</v>
      </c>
      <c r="D35" s="1">
        <v>10</v>
      </c>
      <c r="E35" s="1">
        <v>3</v>
      </c>
      <c r="F35" s="1">
        <v>0</v>
      </c>
      <c r="G35" s="1">
        <v>-1</v>
      </c>
      <c r="H35" s="1">
        <v>3</v>
      </c>
      <c r="I35" s="1">
        <v>1</v>
      </c>
      <c r="J35" s="1">
        <v>6</v>
      </c>
      <c r="K35" s="1">
        <v>7</v>
      </c>
      <c r="L35" s="1">
        <v>3</v>
      </c>
      <c r="M35" s="1">
        <v>4</v>
      </c>
      <c r="N35" s="1">
        <v>10</v>
      </c>
      <c r="O35" s="1">
        <v>13</v>
      </c>
      <c r="P35" s="1">
        <v>4</v>
      </c>
      <c r="Q35" s="1">
        <v>1</v>
      </c>
      <c r="R35" s="2">
        <v>-1</v>
      </c>
      <c r="S35" s="2">
        <f>VLOOKUP(A35,'January 2022'!$B$22:$C$35,2,FALSE)</f>
        <v>1</v>
      </c>
      <c r="T35" s="2">
        <f>VLOOKUP(A35,'February 2022'!$B$22:$C$35,2,FALSE)</f>
        <v>9</v>
      </c>
      <c r="U35" s="2">
        <f>VLOOKUP(A35,'March 2022'!$B$22:$C$38,2,FALSE)</f>
        <v>14</v>
      </c>
    </row>
    <row r="36" spans="1:21" x14ac:dyDescent="0.25">
      <c r="A36" s="12" t="s">
        <v>1</v>
      </c>
      <c r="B36" s="1">
        <v>12</v>
      </c>
      <c r="C36" s="1">
        <v>14</v>
      </c>
      <c r="D36" s="1">
        <v>0</v>
      </c>
      <c r="E36" s="1">
        <v>-3</v>
      </c>
      <c r="F36" s="1">
        <v>-5</v>
      </c>
      <c r="G36" s="1">
        <v>-3</v>
      </c>
      <c r="H36" s="1">
        <v>0</v>
      </c>
      <c r="I36" s="1">
        <v>17</v>
      </c>
      <c r="J36" s="1">
        <v>17</v>
      </c>
      <c r="K36" s="1">
        <v>11</v>
      </c>
      <c r="L36" s="1">
        <v>16</v>
      </c>
      <c r="M36" s="1">
        <v>16</v>
      </c>
      <c r="N36" s="1">
        <v>-3</v>
      </c>
      <c r="O36" s="1">
        <v>16</v>
      </c>
      <c r="P36" s="1">
        <v>8</v>
      </c>
      <c r="Q36" s="1">
        <v>9</v>
      </c>
      <c r="R36" s="2">
        <v>8</v>
      </c>
      <c r="S36" s="2">
        <f>VLOOKUP(A36,'January 2022'!$B$22:$C$35,2,FALSE)</f>
        <v>-4</v>
      </c>
      <c r="T36" s="2">
        <f>VLOOKUP(A36,'February 2022'!$B$22:$C$35,2,FALSE)</f>
        <v>-2</v>
      </c>
      <c r="U36" s="2">
        <f>VLOOKUP(A36,'March 2022'!$B$22:$C$38,2,FALSE)</f>
        <v>15</v>
      </c>
    </row>
    <row r="37" spans="1:21" x14ac:dyDescent="0.25">
      <c r="A37" s="12" t="s">
        <v>31</v>
      </c>
      <c r="B37" s="1">
        <v>9</v>
      </c>
      <c r="C37" s="1">
        <v>5</v>
      </c>
      <c r="D37" s="1">
        <v>12</v>
      </c>
      <c r="E37" s="1">
        <v>4</v>
      </c>
      <c r="F37" s="1">
        <v>-2</v>
      </c>
      <c r="G37" s="1">
        <v>-2</v>
      </c>
      <c r="H37" s="1">
        <v>10</v>
      </c>
      <c r="I37" s="1">
        <v>13</v>
      </c>
      <c r="J37" s="1">
        <v>1</v>
      </c>
      <c r="K37" s="1">
        <v>3</v>
      </c>
      <c r="L37" s="1">
        <v>10</v>
      </c>
      <c r="M37" s="1">
        <v>10</v>
      </c>
      <c r="N37" s="1">
        <v>12</v>
      </c>
      <c r="O37" s="1">
        <v>2</v>
      </c>
      <c r="P37" s="1">
        <v>9</v>
      </c>
      <c r="Q37" s="1">
        <v>3</v>
      </c>
      <c r="R37" s="2">
        <v>12</v>
      </c>
      <c r="S37" s="2">
        <f>VLOOKUP(A37,'January 2022'!$B$22:$C$35,2,FALSE)</f>
        <v>-3</v>
      </c>
      <c r="T37" s="2">
        <f>VLOOKUP(A37,'February 2022'!$B$22:$C$35,2,FALSE)</f>
        <v>-3</v>
      </c>
      <c r="U37" s="2">
        <f>VLOOKUP(A37,'March 2022'!$B$22:$C$38,2,FALSE)</f>
        <v>5</v>
      </c>
    </row>
    <row r="38" spans="1:21" x14ac:dyDescent="0.25">
      <c r="A38" s="12" t="s">
        <v>18</v>
      </c>
      <c r="B38" s="1">
        <v>0</v>
      </c>
      <c r="C38" s="1">
        <v>7</v>
      </c>
      <c r="D38" s="1">
        <v>5</v>
      </c>
      <c r="E38" s="1">
        <v>-2</v>
      </c>
      <c r="F38" s="1">
        <v>-1</v>
      </c>
      <c r="G38" s="1">
        <v>0</v>
      </c>
      <c r="H38" s="1">
        <v>-1</v>
      </c>
      <c r="I38" s="1">
        <v>0</v>
      </c>
      <c r="J38" s="1">
        <v>14</v>
      </c>
      <c r="K38" s="1">
        <v>8</v>
      </c>
      <c r="L38" s="1">
        <v>13</v>
      </c>
      <c r="M38" s="1">
        <v>12</v>
      </c>
      <c r="N38" s="1">
        <v>8</v>
      </c>
      <c r="O38" s="1">
        <v>15</v>
      </c>
      <c r="P38" s="1">
        <v>14</v>
      </c>
      <c r="Q38" s="1">
        <v>8</v>
      </c>
      <c r="R38" s="2">
        <v>7</v>
      </c>
      <c r="S38" s="2">
        <v>0</v>
      </c>
      <c r="T38" s="2">
        <v>0</v>
      </c>
      <c r="U38" s="2">
        <f>VLOOKUP(A38,'March 2022'!$B$22:$C$38,2,FALSE)</f>
        <v>8</v>
      </c>
    </row>
    <row r="39" spans="1:21" x14ac:dyDescent="0.25">
      <c r="A39" s="12" t="s">
        <v>29</v>
      </c>
      <c r="B39" s="1">
        <v>-3</v>
      </c>
      <c r="C39" s="1">
        <v>13</v>
      </c>
      <c r="D39" s="1">
        <v>0</v>
      </c>
      <c r="E39" s="1">
        <v>0</v>
      </c>
      <c r="F39" s="1">
        <v>-4</v>
      </c>
      <c r="G39" s="1">
        <v>8</v>
      </c>
      <c r="H39" s="1">
        <v>-2</v>
      </c>
      <c r="I39" s="1">
        <v>5</v>
      </c>
      <c r="J39" s="1">
        <v>10</v>
      </c>
      <c r="K39" s="1">
        <v>4</v>
      </c>
      <c r="L39" s="1">
        <v>0</v>
      </c>
      <c r="M39" s="1">
        <v>13</v>
      </c>
      <c r="N39" s="1">
        <v>-2</v>
      </c>
      <c r="O39" s="1">
        <v>14</v>
      </c>
      <c r="P39" s="1">
        <v>13</v>
      </c>
      <c r="Q39" s="1">
        <v>7</v>
      </c>
      <c r="R39" s="2">
        <v>0</v>
      </c>
      <c r="S39" s="2">
        <v>0</v>
      </c>
      <c r="T39" s="2">
        <v>0</v>
      </c>
      <c r="U39" s="2">
        <f>VLOOKUP(A39,'March 2022'!$B$22:$C$38,2,FALSE)</f>
        <v>11</v>
      </c>
    </row>
    <row r="41" spans="1:21" ht="18.75" x14ac:dyDescent="0.3">
      <c r="A41" s="13" t="s">
        <v>21</v>
      </c>
      <c r="B41" s="9" t="s">
        <v>54</v>
      </c>
      <c r="C41" s="9" t="s">
        <v>55</v>
      </c>
      <c r="D41" s="9" t="s">
        <v>56</v>
      </c>
      <c r="E41" s="9" t="s">
        <v>57</v>
      </c>
      <c r="F41" s="9" t="s">
        <v>58</v>
      </c>
      <c r="G41" s="10">
        <v>44197</v>
      </c>
      <c r="H41" s="11">
        <v>44248</v>
      </c>
      <c r="I41" s="11">
        <v>44276</v>
      </c>
      <c r="J41" s="11">
        <v>44307</v>
      </c>
      <c r="K41" s="11">
        <v>44337</v>
      </c>
      <c r="L41" s="11">
        <v>44368</v>
      </c>
      <c r="M41" s="11">
        <v>44398</v>
      </c>
      <c r="N41" s="11">
        <v>44429</v>
      </c>
      <c r="O41" s="11">
        <v>44460</v>
      </c>
      <c r="P41" s="11">
        <v>44490</v>
      </c>
      <c r="Q41" s="11">
        <v>44521</v>
      </c>
      <c r="R41" s="30">
        <v>44916</v>
      </c>
      <c r="S41" s="11" t="s">
        <v>3811</v>
      </c>
      <c r="T41" s="30" t="s">
        <v>3812</v>
      </c>
      <c r="U41" s="11" t="s">
        <v>3813</v>
      </c>
    </row>
    <row r="42" spans="1:21" x14ac:dyDescent="0.25">
      <c r="A42" s="12" t="s">
        <v>41</v>
      </c>
      <c r="B42" s="1">
        <v>-3</v>
      </c>
      <c r="C42" s="1">
        <v>3</v>
      </c>
      <c r="D42" s="1">
        <v>0</v>
      </c>
      <c r="E42" s="1">
        <v>1</v>
      </c>
      <c r="F42" s="1">
        <v>4</v>
      </c>
      <c r="G42" s="1">
        <v>8</v>
      </c>
      <c r="H42" s="1">
        <v>9</v>
      </c>
      <c r="I42" s="1">
        <v>9</v>
      </c>
      <c r="J42" s="1">
        <v>3</v>
      </c>
      <c r="K42" s="1">
        <v>0</v>
      </c>
      <c r="L42" s="1">
        <v>0</v>
      </c>
      <c r="M42" s="1">
        <v>5</v>
      </c>
      <c r="N42" s="2">
        <v>0</v>
      </c>
      <c r="O42" s="2">
        <v>9</v>
      </c>
      <c r="P42" s="2">
        <v>-4</v>
      </c>
      <c r="Q42" s="2">
        <v>-4</v>
      </c>
      <c r="R42" s="2">
        <v>0</v>
      </c>
      <c r="S42" s="2">
        <f>VLOOKUP(A42,'January 2022'!$B$38:$C$50,2,FALSE)</f>
        <v>-8</v>
      </c>
      <c r="T42" s="2">
        <v>0</v>
      </c>
      <c r="U42" s="2">
        <f>VLOOKUP(A42,'March 2022'!$B$41:$C$58,2,FALSE)</f>
        <v>-4</v>
      </c>
    </row>
    <row r="43" spans="1:21" x14ac:dyDescent="0.25">
      <c r="A43" s="12" t="s">
        <v>36</v>
      </c>
      <c r="B43" s="1">
        <v>5</v>
      </c>
      <c r="C43" s="1">
        <v>5</v>
      </c>
      <c r="D43" s="1">
        <v>3</v>
      </c>
      <c r="E43" s="1">
        <v>4</v>
      </c>
      <c r="F43" s="1">
        <v>3</v>
      </c>
      <c r="G43" s="1">
        <v>1</v>
      </c>
      <c r="H43" s="1">
        <v>-2</v>
      </c>
      <c r="I43" s="1">
        <v>8</v>
      </c>
      <c r="J43" s="1">
        <v>9</v>
      </c>
      <c r="K43" s="1">
        <v>5</v>
      </c>
      <c r="L43" s="1">
        <v>4</v>
      </c>
      <c r="M43" s="1">
        <v>7</v>
      </c>
      <c r="N43" s="2">
        <v>3</v>
      </c>
      <c r="O43" s="2">
        <v>1</v>
      </c>
      <c r="P43" s="2">
        <v>7</v>
      </c>
      <c r="Q43" s="2">
        <v>5</v>
      </c>
      <c r="R43" s="2">
        <v>6</v>
      </c>
      <c r="S43" s="2">
        <f>VLOOKUP(A43,'January 2022'!$B$38:$C$50,2,FALSE)</f>
        <v>1</v>
      </c>
      <c r="T43" s="2">
        <f>VLOOKUP(A43,'February 2022'!$B$38:$C$52,2,FALSE)</f>
        <v>4</v>
      </c>
      <c r="U43" s="2">
        <f>VLOOKUP(A43,'March 2022'!$B$41:$C$58,2,FALSE)</f>
        <v>7</v>
      </c>
    </row>
    <row r="44" spans="1:21" x14ac:dyDescent="0.25">
      <c r="A44" s="12" t="s">
        <v>25</v>
      </c>
      <c r="B44" s="1">
        <v>-2</v>
      </c>
      <c r="C44" s="1">
        <v>0</v>
      </c>
      <c r="D44" s="1">
        <v>5</v>
      </c>
      <c r="E44" s="1">
        <v>0</v>
      </c>
      <c r="F44" s="1">
        <v>0</v>
      </c>
      <c r="G44" s="1">
        <v>-6</v>
      </c>
      <c r="H44" s="1">
        <v>5</v>
      </c>
      <c r="I44" s="1">
        <v>0</v>
      </c>
      <c r="J44" s="1">
        <v>0</v>
      </c>
      <c r="K44" s="1">
        <v>8</v>
      </c>
      <c r="L44" s="1">
        <v>11</v>
      </c>
      <c r="M44" s="1">
        <v>9</v>
      </c>
      <c r="N44" s="2">
        <v>6</v>
      </c>
      <c r="O44" s="2">
        <v>13</v>
      </c>
      <c r="P44" s="2">
        <v>8</v>
      </c>
      <c r="Q44" s="2">
        <v>10</v>
      </c>
      <c r="R44" s="2">
        <v>0</v>
      </c>
      <c r="S44" s="2">
        <f>VLOOKUP(A44,'January 2022'!$B$38:$C$50,2,FALSE)</f>
        <v>-4</v>
      </c>
      <c r="T44" s="2">
        <f>VLOOKUP(A44,'February 2022'!$B$38:$C$52,2,FALSE)</f>
        <v>-4</v>
      </c>
      <c r="U44" s="2">
        <f>VLOOKUP(A44,'March 2022'!$B$41:$C$58,2,FALSE)</f>
        <v>6</v>
      </c>
    </row>
    <row r="45" spans="1:21" x14ac:dyDescent="0.25">
      <c r="A45" s="12" t="s">
        <v>43</v>
      </c>
      <c r="B45" s="1">
        <v>4</v>
      </c>
      <c r="C45" s="1">
        <v>4</v>
      </c>
      <c r="D45" s="1">
        <v>4</v>
      </c>
      <c r="E45" s="1">
        <v>2</v>
      </c>
      <c r="F45" s="1">
        <v>-1</v>
      </c>
      <c r="G45" s="1">
        <v>3</v>
      </c>
      <c r="H45" s="1">
        <v>10</v>
      </c>
      <c r="I45" s="1">
        <v>-1</v>
      </c>
      <c r="J45" s="1">
        <v>1</v>
      </c>
      <c r="K45" s="1">
        <v>0</v>
      </c>
      <c r="L45" s="1">
        <v>3</v>
      </c>
      <c r="M45" s="1">
        <v>-3</v>
      </c>
      <c r="N45" s="2">
        <v>-2</v>
      </c>
      <c r="O45" s="2">
        <v>-2</v>
      </c>
      <c r="P45" s="2">
        <v>-2</v>
      </c>
      <c r="Q45" s="2">
        <v>-2</v>
      </c>
      <c r="R45" s="2">
        <v>-1</v>
      </c>
      <c r="S45" s="2">
        <f>VLOOKUP(A45,'January 2022'!$B$38:$C$50,2,FALSE)</f>
        <v>-7</v>
      </c>
      <c r="T45" s="2">
        <f>VLOOKUP(A45,'February 2022'!$B$38:$C$52,2,FALSE)</f>
        <v>3</v>
      </c>
      <c r="U45" s="2">
        <f>VLOOKUP(A45,'March 2022'!$B$41:$C$58,2,FALSE)</f>
        <v>1</v>
      </c>
    </row>
    <row r="46" spans="1:21" x14ac:dyDescent="0.25">
      <c r="A46" s="12" t="s">
        <v>38</v>
      </c>
      <c r="B46" s="1">
        <v>3</v>
      </c>
      <c r="C46" s="1">
        <v>8</v>
      </c>
      <c r="D46" s="1">
        <v>6</v>
      </c>
      <c r="E46" s="1">
        <v>7</v>
      </c>
      <c r="F46" s="1">
        <v>-5</v>
      </c>
      <c r="G46" s="1">
        <v>-3</v>
      </c>
      <c r="H46" s="1">
        <v>-4</v>
      </c>
      <c r="I46" s="1">
        <v>0</v>
      </c>
      <c r="J46" s="1">
        <v>6</v>
      </c>
      <c r="K46" s="1">
        <v>3</v>
      </c>
      <c r="L46" s="1">
        <v>10</v>
      </c>
      <c r="M46" s="1">
        <v>8</v>
      </c>
      <c r="N46" s="2">
        <v>5</v>
      </c>
      <c r="O46" s="2">
        <v>11</v>
      </c>
      <c r="P46" s="2">
        <v>10</v>
      </c>
      <c r="Q46" s="2">
        <v>6</v>
      </c>
      <c r="R46" s="2">
        <v>7</v>
      </c>
      <c r="S46" s="2">
        <f>VLOOKUP(A46,'January 2022'!$B$38:$C$50,2,FALSE)</f>
        <v>-1</v>
      </c>
      <c r="T46" s="2">
        <f>VLOOKUP(A46,'February 2022'!$B$38:$C$52,2,FALSE)</f>
        <v>7</v>
      </c>
      <c r="U46" s="2">
        <f>VLOOKUP(A46,'March 2022'!$B$41:$C$58,2,FALSE)</f>
        <v>10</v>
      </c>
    </row>
    <row r="47" spans="1:21" x14ac:dyDescent="0.25">
      <c r="A47" s="12" t="s">
        <v>23</v>
      </c>
      <c r="B47" s="1">
        <v>-1</v>
      </c>
      <c r="C47" s="1">
        <v>-1</v>
      </c>
      <c r="D47" s="1">
        <v>2</v>
      </c>
      <c r="E47" s="1">
        <v>0</v>
      </c>
      <c r="F47" s="1">
        <v>1</v>
      </c>
      <c r="G47" s="1">
        <v>5</v>
      </c>
      <c r="H47" s="1">
        <v>1</v>
      </c>
      <c r="I47" s="1">
        <v>6</v>
      </c>
      <c r="J47" s="1">
        <v>7</v>
      </c>
      <c r="K47" s="1">
        <v>6</v>
      </c>
      <c r="L47" s="1">
        <v>7</v>
      </c>
      <c r="M47" s="1">
        <v>1</v>
      </c>
      <c r="N47" s="2">
        <v>-3</v>
      </c>
      <c r="O47" s="2">
        <v>8</v>
      </c>
      <c r="P47" s="2">
        <v>2</v>
      </c>
      <c r="Q47" s="2">
        <v>3</v>
      </c>
      <c r="R47" s="2">
        <v>-2</v>
      </c>
      <c r="S47" s="2">
        <f>VLOOKUP(A47,'January 2022'!$B$38:$C$50,2,FALSE)</f>
        <v>-3</v>
      </c>
      <c r="T47" s="2">
        <f>VLOOKUP(A47,'February 2022'!$B$38:$C$52,2,FALSE)</f>
        <v>-2</v>
      </c>
      <c r="U47" s="2">
        <f>VLOOKUP(A47,'March 2022'!$B$41:$C$58,2,FALSE)</f>
        <v>5</v>
      </c>
    </row>
    <row r="48" spans="1:21" x14ac:dyDescent="0.25">
      <c r="A48" s="12" t="s">
        <v>40</v>
      </c>
      <c r="B48" s="1">
        <v>2</v>
      </c>
      <c r="C48" s="1">
        <v>7</v>
      </c>
      <c r="D48" s="1">
        <v>-3</v>
      </c>
      <c r="E48" s="1">
        <v>6</v>
      </c>
      <c r="F48" s="1">
        <v>2</v>
      </c>
      <c r="G48" s="1">
        <v>-2</v>
      </c>
      <c r="H48" s="1">
        <v>4</v>
      </c>
      <c r="I48" s="1">
        <v>-3</v>
      </c>
      <c r="J48" s="1">
        <v>5</v>
      </c>
      <c r="K48" s="1">
        <v>1</v>
      </c>
      <c r="L48" s="1">
        <v>8</v>
      </c>
      <c r="M48" s="1">
        <v>3</v>
      </c>
      <c r="N48" s="2">
        <v>4</v>
      </c>
      <c r="O48" s="2">
        <v>2</v>
      </c>
      <c r="P48" s="2">
        <v>3</v>
      </c>
      <c r="Q48" s="2">
        <v>4</v>
      </c>
      <c r="R48" s="2">
        <v>5</v>
      </c>
      <c r="S48" s="2">
        <f>VLOOKUP(A48,'January 2022'!$B$38:$C$50,2,FALSE)</f>
        <v>-6</v>
      </c>
      <c r="T48" s="2">
        <f>VLOOKUP(A48,'February 2022'!$B$38:$C$52,2,FALSE)</f>
        <v>-5</v>
      </c>
      <c r="U48" s="2">
        <f>VLOOKUP(A48,'March 2022'!$B$41:$C$58,2,FALSE)</f>
        <v>2</v>
      </c>
    </row>
    <row r="49" spans="1:21" x14ac:dyDescent="0.25">
      <c r="A49" s="12" t="s">
        <v>35</v>
      </c>
      <c r="B49" s="1">
        <v>7</v>
      </c>
      <c r="C49" s="1">
        <v>6</v>
      </c>
      <c r="D49" s="1">
        <v>0</v>
      </c>
      <c r="E49" s="1">
        <v>0</v>
      </c>
      <c r="F49" s="1">
        <v>0</v>
      </c>
      <c r="G49" s="1">
        <v>0</v>
      </c>
      <c r="H49" s="1">
        <v>0</v>
      </c>
      <c r="I49" s="1">
        <v>0</v>
      </c>
      <c r="J49" s="1">
        <v>-4</v>
      </c>
      <c r="K49" s="1">
        <v>-2</v>
      </c>
      <c r="L49" s="1">
        <v>0</v>
      </c>
      <c r="M49" s="1">
        <v>0</v>
      </c>
      <c r="N49" s="2">
        <v>-4</v>
      </c>
      <c r="O49" s="2">
        <v>-3</v>
      </c>
      <c r="P49" s="2">
        <v>11</v>
      </c>
      <c r="Q49" s="2">
        <v>8</v>
      </c>
      <c r="R49" s="2">
        <v>9</v>
      </c>
      <c r="S49" s="2">
        <v>0</v>
      </c>
      <c r="T49" s="2">
        <f>VLOOKUP(A49,'February 2022'!$B$38:$C$52,2,FALSE)</f>
        <v>-7</v>
      </c>
      <c r="U49" s="2">
        <f>VLOOKUP(A49,'March 2022'!$B$41:$C$58,2,FALSE)</f>
        <v>-3</v>
      </c>
    </row>
    <row r="50" spans="1:21" x14ac:dyDescent="0.25">
      <c r="A50" s="12" t="s">
        <v>28</v>
      </c>
      <c r="B50" s="1">
        <v>-6</v>
      </c>
      <c r="C50" s="1">
        <v>-4</v>
      </c>
      <c r="D50" s="1">
        <v>-5</v>
      </c>
      <c r="E50" s="1">
        <v>-3</v>
      </c>
      <c r="F50" s="1">
        <v>-3</v>
      </c>
      <c r="G50" s="1">
        <v>-5</v>
      </c>
      <c r="H50" s="1">
        <v>2</v>
      </c>
      <c r="I50" s="1">
        <v>-2</v>
      </c>
      <c r="J50" s="1">
        <v>-2</v>
      </c>
      <c r="K50" s="1">
        <v>0</v>
      </c>
      <c r="L50" s="1">
        <v>0</v>
      </c>
      <c r="M50" s="1">
        <v>10</v>
      </c>
      <c r="N50" s="2">
        <v>-1</v>
      </c>
      <c r="O50" s="2">
        <v>3</v>
      </c>
      <c r="P50" s="2">
        <v>4</v>
      </c>
      <c r="Q50" s="2">
        <v>0</v>
      </c>
      <c r="R50" s="2">
        <v>1</v>
      </c>
      <c r="S50" s="2">
        <v>0</v>
      </c>
      <c r="T50" s="2">
        <f>VLOOKUP(A50,'February 2022'!$B$38:$C$52,2,FALSE)</f>
        <v>-1</v>
      </c>
      <c r="U50" s="2">
        <f>VLOOKUP(A50,'March 2022'!$B$41:$C$58,2,FALSE)</f>
        <v>-1</v>
      </c>
    </row>
    <row r="51" spans="1:21" x14ac:dyDescent="0.25">
      <c r="A51" s="12" t="s">
        <v>15</v>
      </c>
      <c r="B51" s="1">
        <v>1</v>
      </c>
      <c r="C51" s="1">
        <v>-3</v>
      </c>
      <c r="D51" s="1">
        <v>-1</v>
      </c>
      <c r="E51" s="1">
        <v>0</v>
      </c>
      <c r="F51" s="1">
        <v>-6</v>
      </c>
      <c r="G51" s="1">
        <v>-1</v>
      </c>
      <c r="H51" s="1">
        <v>-1</v>
      </c>
      <c r="I51" s="1">
        <v>1</v>
      </c>
      <c r="J51" s="1">
        <v>2</v>
      </c>
      <c r="K51" s="1">
        <v>0</v>
      </c>
      <c r="L51" s="1">
        <v>2</v>
      </c>
      <c r="M51" s="1">
        <v>2</v>
      </c>
      <c r="N51" s="2">
        <v>1</v>
      </c>
      <c r="O51" s="2">
        <v>7</v>
      </c>
      <c r="P51" s="2">
        <v>1</v>
      </c>
      <c r="Q51" s="2">
        <v>1</v>
      </c>
      <c r="R51" s="2">
        <v>0</v>
      </c>
      <c r="S51" s="2">
        <f>VLOOKUP(A51,'January 2022'!$B$38:$C$50,2,FALSE)</f>
        <v>3</v>
      </c>
      <c r="T51" s="2">
        <f>VLOOKUP(A51,'February 2022'!$B$38:$C$52,2,FALSE)</f>
        <v>2</v>
      </c>
      <c r="U51" s="2">
        <f>VLOOKUP(A51,'March 2022'!$B$41:$C$58,2,FALSE)</f>
        <v>4</v>
      </c>
    </row>
    <row r="52" spans="1:21" x14ac:dyDescent="0.25">
      <c r="A52" s="12" t="s">
        <v>16</v>
      </c>
      <c r="B52" s="1">
        <v>-9</v>
      </c>
      <c r="C52" s="1">
        <v>-6</v>
      </c>
      <c r="D52" s="1">
        <v>-6</v>
      </c>
      <c r="E52" s="1">
        <v>-2</v>
      </c>
      <c r="F52" s="1">
        <v>-8</v>
      </c>
      <c r="G52" s="1">
        <v>0</v>
      </c>
      <c r="H52" s="1">
        <v>-6</v>
      </c>
      <c r="I52" s="1">
        <v>0</v>
      </c>
      <c r="J52" s="1">
        <v>0</v>
      </c>
      <c r="K52" s="1">
        <v>4</v>
      </c>
      <c r="L52" s="1">
        <v>6</v>
      </c>
      <c r="M52" s="1">
        <v>11</v>
      </c>
      <c r="N52" s="2">
        <v>0</v>
      </c>
      <c r="O52" s="2">
        <v>6</v>
      </c>
      <c r="P52" s="2">
        <v>0</v>
      </c>
      <c r="Q52" s="2">
        <v>9</v>
      </c>
      <c r="R52" s="2">
        <v>-3</v>
      </c>
      <c r="S52" s="2">
        <v>0</v>
      </c>
      <c r="T52" s="2">
        <v>0</v>
      </c>
      <c r="U52" s="2">
        <f>VLOOKUP(A52,'March 2022'!$B$41:$C$58,2,FALSE)</f>
        <v>-5</v>
      </c>
    </row>
    <row r="53" spans="1:21" x14ac:dyDescent="0.25">
      <c r="A53" s="12" t="s">
        <v>34</v>
      </c>
      <c r="B53" s="1">
        <v>-4</v>
      </c>
      <c r="C53" s="1">
        <v>2</v>
      </c>
      <c r="D53" s="1">
        <v>-4</v>
      </c>
      <c r="E53" s="1">
        <v>-1</v>
      </c>
      <c r="F53" s="1">
        <v>0</v>
      </c>
      <c r="G53" s="1">
        <v>2</v>
      </c>
      <c r="H53" s="1">
        <v>3</v>
      </c>
      <c r="I53" s="1">
        <v>3</v>
      </c>
      <c r="J53" s="1">
        <v>4</v>
      </c>
      <c r="K53" s="1">
        <v>2</v>
      </c>
      <c r="L53" s="1">
        <v>5</v>
      </c>
      <c r="M53" s="1">
        <v>4</v>
      </c>
      <c r="N53" s="2">
        <v>0</v>
      </c>
      <c r="O53" s="2">
        <v>-1</v>
      </c>
      <c r="P53" s="2">
        <v>-3</v>
      </c>
      <c r="Q53" s="2">
        <v>0</v>
      </c>
      <c r="R53" s="2">
        <v>3</v>
      </c>
      <c r="S53" s="2">
        <f>VLOOKUP(A53,'January 2022'!$B$38:$C$50,2,FALSE)</f>
        <v>-2</v>
      </c>
      <c r="T53" s="2">
        <f>VLOOKUP(A53,'February 2022'!$B$38:$C$52,2,FALSE)</f>
        <v>-6</v>
      </c>
      <c r="U53" s="2">
        <f>VLOOKUP(A53,'March 2022'!$B$41:$C$58,2,FALSE)</f>
        <v>3</v>
      </c>
    </row>
    <row r="54" spans="1:21" x14ac:dyDescent="0.25">
      <c r="A54" s="12" t="s">
        <v>20</v>
      </c>
      <c r="B54" s="1">
        <v>0</v>
      </c>
      <c r="C54" s="1">
        <v>1</v>
      </c>
      <c r="D54" s="1">
        <v>1</v>
      </c>
      <c r="E54" s="1">
        <v>5</v>
      </c>
      <c r="F54" s="1">
        <v>-2</v>
      </c>
      <c r="G54" s="1">
        <v>6</v>
      </c>
      <c r="H54" s="1">
        <v>7</v>
      </c>
      <c r="I54" s="1">
        <v>7</v>
      </c>
      <c r="J54" s="1">
        <v>8</v>
      </c>
      <c r="K54" s="1">
        <v>7</v>
      </c>
      <c r="L54" s="1">
        <v>1</v>
      </c>
      <c r="M54" s="1">
        <v>6</v>
      </c>
      <c r="N54" s="2">
        <v>2</v>
      </c>
      <c r="O54" s="2">
        <v>12</v>
      </c>
      <c r="P54" s="2">
        <v>9</v>
      </c>
      <c r="Q54" s="2">
        <v>-1</v>
      </c>
      <c r="R54" s="2">
        <v>2</v>
      </c>
      <c r="S54" s="2">
        <f>VLOOKUP(A54,'January 2022'!$B$38:$C$50,2,FALSE)</f>
        <v>5</v>
      </c>
      <c r="T54" s="2">
        <f>VLOOKUP(A54,'February 2022'!$B$38:$C$52,2,FALSE)</f>
        <v>6</v>
      </c>
      <c r="U54" s="2">
        <f>VLOOKUP(A54,'March 2022'!$B$41:$C$58,2,FALSE)</f>
        <v>11</v>
      </c>
    </row>
    <row r="55" spans="1:21" x14ac:dyDescent="0.25">
      <c r="A55" s="12" t="s">
        <v>27</v>
      </c>
      <c r="B55" s="1">
        <v>-8</v>
      </c>
      <c r="C55" s="1">
        <v>-5</v>
      </c>
      <c r="D55" s="1">
        <v>-2</v>
      </c>
      <c r="E55" s="1">
        <v>-5</v>
      </c>
      <c r="F55" s="1">
        <v>0</v>
      </c>
      <c r="G55" s="1">
        <v>-4</v>
      </c>
      <c r="H55" s="1">
        <v>-3</v>
      </c>
      <c r="I55" s="1">
        <v>2</v>
      </c>
      <c r="J55" s="1">
        <v>-1</v>
      </c>
      <c r="K55" s="1">
        <v>-1</v>
      </c>
      <c r="L55" s="1">
        <v>-1</v>
      </c>
      <c r="M55" s="1">
        <v>-2</v>
      </c>
      <c r="N55" s="2">
        <v>8</v>
      </c>
      <c r="O55" s="2">
        <v>10</v>
      </c>
      <c r="P55" s="2">
        <v>6</v>
      </c>
      <c r="Q55" s="2">
        <v>2</v>
      </c>
      <c r="R55" s="2">
        <v>4</v>
      </c>
      <c r="S55" s="2">
        <f>VLOOKUP(A55,'January 2022'!$B$38:$C$50,2,FALSE)</f>
        <v>-5</v>
      </c>
      <c r="T55" s="2">
        <f>VLOOKUP(A55,'February 2022'!$B$38:$C$52,2,FALSE)</f>
        <v>1</v>
      </c>
      <c r="U55" s="2">
        <f>VLOOKUP(A55,'March 2022'!$B$41:$C$58,2,FALSE)</f>
        <v>8</v>
      </c>
    </row>
    <row r="56" spans="1:21" x14ac:dyDescent="0.25">
      <c r="A56" s="12" t="s">
        <v>1</v>
      </c>
      <c r="B56" s="1">
        <v>8</v>
      </c>
      <c r="C56" s="1">
        <v>9</v>
      </c>
      <c r="D56" s="1">
        <v>-8</v>
      </c>
      <c r="E56" s="1">
        <v>-6</v>
      </c>
      <c r="F56" s="1">
        <v>-10</v>
      </c>
      <c r="G56" s="1">
        <v>0</v>
      </c>
      <c r="H56" s="1">
        <v>11</v>
      </c>
      <c r="I56" s="1">
        <v>10</v>
      </c>
      <c r="J56" s="1">
        <v>11</v>
      </c>
      <c r="K56" s="1">
        <v>10</v>
      </c>
      <c r="L56" s="1">
        <v>12</v>
      </c>
      <c r="M56" s="1">
        <v>13</v>
      </c>
      <c r="N56" s="2">
        <v>9</v>
      </c>
      <c r="O56" s="2">
        <v>14</v>
      </c>
      <c r="P56" s="2">
        <v>12</v>
      </c>
      <c r="Q56" s="2">
        <v>11</v>
      </c>
      <c r="R56" s="2">
        <v>8</v>
      </c>
      <c r="S56" s="2">
        <v>0</v>
      </c>
      <c r="T56" s="2">
        <f>VLOOKUP(A56,'February 2022'!$B$38:$C$52,2,FALSE)</f>
        <v>5</v>
      </c>
      <c r="U56" s="2">
        <f>VLOOKUP(A56,'March 2022'!$B$41:$C$58,2,FALSE)</f>
        <v>12</v>
      </c>
    </row>
    <row r="57" spans="1:21" x14ac:dyDescent="0.25">
      <c r="A57" s="12" t="s">
        <v>31</v>
      </c>
      <c r="B57" s="1">
        <v>6</v>
      </c>
      <c r="C57" s="1">
        <v>0</v>
      </c>
      <c r="D57" s="1">
        <v>0</v>
      </c>
      <c r="E57" s="1">
        <v>3</v>
      </c>
      <c r="F57" s="1">
        <v>-7</v>
      </c>
      <c r="G57" s="1">
        <v>4</v>
      </c>
      <c r="H57" s="1">
        <v>8</v>
      </c>
      <c r="I57" s="1">
        <v>4</v>
      </c>
      <c r="J57" s="1">
        <v>-3</v>
      </c>
      <c r="K57" s="1">
        <v>-3</v>
      </c>
      <c r="L57" s="1">
        <v>0</v>
      </c>
      <c r="M57" s="1">
        <v>12</v>
      </c>
      <c r="N57" s="2">
        <v>0</v>
      </c>
      <c r="O57" s="2">
        <v>4</v>
      </c>
      <c r="P57" s="2">
        <v>-1</v>
      </c>
      <c r="Q57" s="2">
        <v>-3</v>
      </c>
      <c r="R57" s="2">
        <v>10</v>
      </c>
      <c r="S57" s="2">
        <f>VLOOKUP(A57,'January 2022'!$B$38:$C$50,2,FALSE)</f>
        <v>2</v>
      </c>
      <c r="T57" s="2">
        <v>0</v>
      </c>
      <c r="U57" s="2">
        <f>VLOOKUP(A57,'March 2022'!$B$41:$C$58,2,FALSE)</f>
        <v>13</v>
      </c>
    </row>
    <row r="58" spans="1:21" x14ac:dyDescent="0.25">
      <c r="A58" s="12" t="s">
        <v>18</v>
      </c>
      <c r="B58" s="1">
        <v>-7</v>
      </c>
      <c r="C58" s="1">
        <v>-2</v>
      </c>
      <c r="D58" s="1">
        <v>-7</v>
      </c>
      <c r="E58" s="1">
        <v>-4</v>
      </c>
      <c r="F58" s="1">
        <v>-4</v>
      </c>
      <c r="G58" s="1">
        <v>0</v>
      </c>
      <c r="H58" s="1">
        <v>6</v>
      </c>
      <c r="I58" s="1">
        <v>5</v>
      </c>
      <c r="J58" s="1">
        <v>0</v>
      </c>
      <c r="K58" s="1">
        <v>0</v>
      </c>
      <c r="L58" s="1">
        <v>9</v>
      </c>
      <c r="M58" s="1">
        <v>0</v>
      </c>
      <c r="N58" s="2">
        <v>0</v>
      </c>
      <c r="O58" s="2">
        <v>5</v>
      </c>
      <c r="P58" s="2">
        <v>5</v>
      </c>
      <c r="Q58" s="2">
        <v>0</v>
      </c>
      <c r="R58" s="2">
        <v>0</v>
      </c>
      <c r="S58" s="2">
        <v>0</v>
      </c>
      <c r="T58" s="2">
        <f>VLOOKUP(A58,'February 2022'!$B$38:$C$52,2,FALSE)</f>
        <v>-3</v>
      </c>
      <c r="U58" s="2">
        <f>VLOOKUP(A58,'March 2022'!$B$41:$C$58,2,FALSE)</f>
        <v>-2</v>
      </c>
    </row>
    <row r="59" spans="1:21" x14ac:dyDescent="0.25">
      <c r="A59" s="12" t="s">
        <v>29</v>
      </c>
      <c r="B59" s="1">
        <v>-5</v>
      </c>
      <c r="C59" s="1">
        <v>0</v>
      </c>
      <c r="D59" s="1">
        <v>0</v>
      </c>
      <c r="E59" s="1">
        <v>0</v>
      </c>
      <c r="F59" s="1">
        <v>-9</v>
      </c>
      <c r="G59" s="1">
        <v>7</v>
      </c>
      <c r="H59" s="1">
        <v>-5</v>
      </c>
      <c r="I59" s="1">
        <v>0</v>
      </c>
      <c r="J59" s="1">
        <v>10</v>
      </c>
      <c r="K59" s="1">
        <v>9</v>
      </c>
      <c r="L59" s="1">
        <v>-2</v>
      </c>
      <c r="M59" s="1">
        <v>-1</v>
      </c>
      <c r="N59" s="2">
        <v>7</v>
      </c>
      <c r="O59" s="2">
        <v>0</v>
      </c>
      <c r="P59" s="2">
        <v>0</v>
      </c>
      <c r="Q59" s="2">
        <v>7</v>
      </c>
      <c r="R59" s="2">
        <v>0</v>
      </c>
      <c r="S59" s="2">
        <f>VLOOKUP(A59,'January 2022'!$B$38:$C$50,2,FALSE)</f>
        <v>4</v>
      </c>
      <c r="T59" s="2">
        <f>VLOOKUP(A59,'February 2022'!$B$38:$C$52,2,FALSE)</f>
        <v>-8</v>
      </c>
      <c r="U59" s="2">
        <f>VLOOKUP(A59,'March 2022'!$B$41:$C$58,2,FALSE)</f>
        <v>9</v>
      </c>
    </row>
    <row r="61" spans="1:21" ht="18.75" x14ac:dyDescent="0.3">
      <c r="A61" s="13" t="s">
        <v>24</v>
      </c>
      <c r="B61" s="9" t="s">
        <v>54</v>
      </c>
      <c r="C61" s="9" t="s">
        <v>55</v>
      </c>
      <c r="D61" s="9" t="s">
        <v>56</v>
      </c>
      <c r="E61" s="9" t="s">
        <v>57</v>
      </c>
      <c r="F61" s="9" t="s">
        <v>58</v>
      </c>
      <c r="G61" s="10">
        <v>44197</v>
      </c>
      <c r="H61" s="11">
        <v>44248</v>
      </c>
      <c r="I61" s="11">
        <v>44276</v>
      </c>
      <c r="J61" s="11">
        <v>44307</v>
      </c>
      <c r="K61" s="11">
        <v>44337</v>
      </c>
      <c r="L61" s="11">
        <v>44368</v>
      </c>
      <c r="M61" s="11">
        <v>44398</v>
      </c>
      <c r="N61" s="11">
        <v>44429</v>
      </c>
      <c r="O61" s="11">
        <v>44460</v>
      </c>
      <c r="P61" s="11">
        <v>44490</v>
      </c>
      <c r="Q61" s="11">
        <v>44521</v>
      </c>
      <c r="R61" s="30">
        <v>44916</v>
      </c>
      <c r="S61" s="11" t="s">
        <v>3811</v>
      </c>
      <c r="T61" s="30" t="s">
        <v>3812</v>
      </c>
      <c r="U61" s="11" t="s">
        <v>3813</v>
      </c>
    </row>
    <row r="62" spans="1:21" x14ac:dyDescent="0.25">
      <c r="A62" s="12" t="s">
        <v>41</v>
      </c>
      <c r="B62" s="1">
        <v>-5</v>
      </c>
      <c r="C62" s="1">
        <v>-12</v>
      </c>
      <c r="D62" s="1">
        <v>0</v>
      </c>
      <c r="E62" s="1">
        <v>-10</v>
      </c>
      <c r="F62" s="1">
        <v>-14</v>
      </c>
      <c r="G62" s="1">
        <v>-3</v>
      </c>
      <c r="H62" s="1">
        <v>2</v>
      </c>
      <c r="I62" s="1">
        <v>-7</v>
      </c>
      <c r="J62" s="1">
        <v>-17</v>
      </c>
      <c r="K62" s="1">
        <v>-16</v>
      </c>
      <c r="L62" s="1">
        <v>-6</v>
      </c>
      <c r="M62" s="1">
        <v>-6</v>
      </c>
      <c r="N62" s="2">
        <v>13</v>
      </c>
      <c r="O62" s="2">
        <v>-17</v>
      </c>
      <c r="P62" s="2">
        <v>-9</v>
      </c>
      <c r="Q62" s="2">
        <v>-10</v>
      </c>
      <c r="R62" s="2">
        <v>-14</v>
      </c>
      <c r="S62" s="2">
        <f>VLOOKUP(A62,'January 2022'!$B$53:$C$70,2,FALSE)</f>
        <v>-5</v>
      </c>
      <c r="T62" s="2">
        <f>VLOOKUP(A62,'February 2022'!$B$55:$C$70,2,FALSE)</f>
        <v>-3</v>
      </c>
      <c r="U62" s="2">
        <f>VLOOKUP(A62,'March 2022'!$B$61:$C$77,2,FALSE)</f>
        <v>-5</v>
      </c>
    </row>
    <row r="63" spans="1:21" x14ac:dyDescent="0.25">
      <c r="A63" s="12" t="s">
        <v>36</v>
      </c>
      <c r="B63" s="1">
        <v>-4</v>
      </c>
      <c r="C63" s="1">
        <v>-4</v>
      </c>
      <c r="D63" s="1">
        <v>-8</v>
      </c>
      <c r="E63" s="1">
        <v>-12</v>
      </c>
      <c r="F63" s="1">
        <v>-17</v>
      </c>
      <c r="G63" s="1">
        <v>-12</v>
      </c>
      <c r="H63" s="1">
        <v>-10</v>
      </c>
      <c r="I63" s="1">
        <v>-14</v>
      </c>
      <c r="J63" s="1">
        <v>-15</v>
      </c>
      <c r="K63" s="1">
        <v>-15</v>
      </c>
      <c r="L63" s="1">
        <v>-16</v>
      </c>
      <c r="M63" s="1">
        <v>-14</v>
      </c>
      <c r="N63" s="2">
        <v>7</v>
      </c>
      <c r="O63" s="2">
        <v>-10</v>
      </c>
      <c r="P63" s="2">
        <v>-6</v>
      </c>
      <c r="Q63" s="2">
        <v>-5</v>
      </c>
      <c r="R63" s="2">
        <v>-9</v>
      </c>
      <c r="S63" s="2">
        <f>VLOOKUP(A63,'January 2022'!$B$53:$C$70,2,FALSE)</f>
        <v>-6</v>
      </c>
      <c r="T63" s="2">
        <f>VLOOKUP(A63,'February 2022'!$B$55:$C$70,2,FALSE)</f>
        <v>-5</v>
      </c>
      <c r="U63" s="2">
        <f>VLOOKUP(A63,'March 2022'!$B$61:$C$77,2,FALSE)</f>
        <v>-3</v>
      </c>
    </row>
    <row r="64" spans="1:21" x14ac:dyDescent="0.25">
      <c r="A64" s="12" t="s">
        <v>25</v>
      </c>
      <c r="B64" s="1">
        <v>-16</v>
      </c>
      <c r="C64" s="1">
        <v>-9</v>
      </c>
      <c r="D64" s="1">
        <v>-1</v>
      </c>
      <c r="E64" s="1">
        <v>-9</v>
      </c>
      <c r="F64" s="1">
        <v>-13</v>
      </c>
      <c r="G64" s="1">
        <v>-10</v>
      </c>
      <c r="H64" s="1">
        <v>-11</v>
      </c>
      <c r="I64" s="1">
        <v>0</v>
      </c>
      <c r="J64" s="1">
        <v>-13</v>
      </c>
      <c r="K64" s="1">
        <v>-8</v>
      </c>
      <c r="L64" s="1">
        <v>-11</v>
      </c>
      <c r="M64" s="1">
        <v>-12</v>
      </c>
      <c r="N64" s="2">
        <v>6</v>
      </c>
      <c r="O64" s="2">
        <v>-11</v>
      </c>
      <c r="P64" s="2">
        <v>-16</v>
      </c>
      <c r="Q64" s="2">
        <v>-7</v>
      </c>
      <c r="R64" s="2">
        <v>0</v>
      </c>
      <c r="S64" s="2">
        <f>VLOOKUP(A64,'January 2022'!$B$53:$C$70,2,FALSE)</f>
        <v>-7</v>
      </c>
      <c r="T64" s="2">
        <f>VLOOKUP(A64,'February 2022'!$B$55:$C$70,2,FALSE)</f>
        <v>-9</v>
      </c>
      <c r="U64" s="2">
        <f>VLOOKUP(A64,'March 2022'!$B$61:$C$77,2,FALSE)</f>
        <v>-15</v>
      </c>
    </row>
    <row r="65" spans="1:21" x14ac:dyDescent="0.25">
      <c r="A65" s="12" t="s">
        <v>43</v>
      </c>
      <c r="B65" s="1">
        <v>-12</v>
      </c>
      <c r="C65" s="1">
        <v>-7</v>
      </c>
      <c r="D65" s="1">
        <v>-4</v>
      </c>
      <c r="E65" s="1">
        <v>-5</v>
      </c>
      <c r="F65" s="1">
        <v>-11</v>
      </c>
      <c r="G65" s="1">
        <v>-9</v>
      </c>
      <c r="H65" s="1">
        <v>-7</v>
      </c>
      <c r="I65" s="1">
        <v>-6</v>
      </c>
      <c r="J65" s="1">
        <v>-4</v>
      </c>
      <c r="K65" s="1">
        <v>-5</v>
      </c>
      <c r="L65" s="1">
        <v>-5</v>
      </c>
      <c r="M65" s="1">
        <v>-7</v>
      </c>
      <c r="N65" s="2">
        <v>3</v>
      </c>
      <c r="O65" s="2">
        <v>-13</v>
      </c>
      <c r="P65" s="2">
        <v>-12</v>
      </c>
      <c r="Q65" s="2">
        <v>-11</v>
      </c>
      <c r="R65" s="2">
        <v>-11</v>
      </c>
      <c r="S65" s="2">
        <f>VLOOKUP(A65,'January 2022'!$B$53:$C$70,2,FALSE)</f>
        <v>-14</v>
      </c>
      <c r="T65" s="2">
        <f>VLOOKUP(A65,'February 2022'!$B$55:$C$70,2,FALSE)</f>
        <v>-14</v>
      </c>
      <c r="U65" s="2">
        <f>VLOOKUP(A65,'March 2022'!$B$61:$C$77,2,FALSE)</f>
        <v>-4</v>
      </c>
    </row>
    <row r="66" spans="1:21" x14ac:dyDescent="0.25">
      <c r="A66" s="12" t="s">
        <v>38</v>
      </c>
      <c r="B66" s="1">
        <v>-13</v>
      </c>
      <c r="C66" s="1">
        <v>-10</v>
      </c>
      <c r="D66" s="1">
        <v>-12</v>
      </c>
      <c r="E66" s="1">
        <v>-13</v>
      </c>
      <c r="F66" s="1">
        <v>-5</v>
      </c>
      <c r="G66" s="1">
        <v>-13</v>
      </c>
      <c r="H66" s="1">
        <v>-15</v>
      </c>
      <c r="I66" s="1">
        <v>-11</v>
      </c>
      <c r="J66" s="1">
        <v>-14</v>
      </c>
      <c r="K66" s="1">
        <v>-14</v>
      </c>
      <c r="L66" s="1">
        <v>-9</v>
      </c>
      <c r="M66" s="1">
        <v>-11</v>
      </c>
      <c r="N66" s="2">
        <v>5</v>
      </c>
      <c r="O66" s="2">
        <v>-15</v>
      </c>
      <c r="P66" s="2">
        <v>-11</v>
      </c>
      <c r="Q66" s="2">
        <v>-8</v>
      </c>
      <c r="R66" s="2">
        <v>-2</v>
      </c>
      <c r="S66" s="2">
        <f>VLOOKUP(A66,'January 2022'!$B$53:$C$70,2,FALSE)</f>
        <v>-15</v>
      </c>
      <c r="T66" s="2">
        <f>VLOOKUP(A66,'February 2022'!$B$55:$C$70,2,FALSE)</f>
        <v>-11</v>
      </c>
      <c r="U66" s="2">
        <f>VLOOKUP(A66,'March 2022'!$B$61:$C$77,2,FALSE)</f>
        <v>-7</v>
      </c>
    </row>
    <row r="67" spans="1:21" x14ac:dyDescent="0.25">
      <c r="A67" s="12" t="s">
        <v>23</v>
      </c>
      <c r="B67" s="1">
        <v>-3</v>
      </c>
      <c r="C67" s="1">
        <v>-1</v>
      </c>
      <c r="D67" s="1">
        <v>0</v>
      </c>
      <c r="E67" s="1">
        <v>0</v>
      </c>
      <c r="F67" s="1">
        <v>-2</v>
      </c>
      <c r="G67" s="1">
        <v>0</v>
      </c>
      <c r="H67" s="1">
        <v>-1</v>
      </c>
      <c r="I67" s="1">
        <v>1</v>
      </c>
      <c r="J67" s="1">
        <v>-7</v>
      </c>
      <c r="K67" s="1">
        <v>-3</v>
      </c>
      <c r="L67" s="1">
        <v>-1</v>
      </c>
      <c r="M67" s="1">
        <v>-1</v>
      </c>
      <c r="N67" s="2">
        <v>1</v>
      </c>
      <c r="O67" s="2">
        <v>-1</v>
      </c>
      <c r="P67" s="2">
        <v>-1</v>
      </c>
      <c r="Q67" s="2">
        <v>-1</v>
      </c>
      <c r="R67" s="2">
        <v>-1</v>
      </c>
      <c r="S67" s="2">
        <f>VLOOKUP(A67,'January 2022'!$B$53:$C$70,2,FALSE)</f>
        <v>-3</v>
      </c>
      <c r="T67" s="2">
        <f>VLOOKUP(A67,'February 2022'!$B$55:$C$70,2,FALSE)</f>
        <v>-4</v>
      </c>
      <c r="U67" s="2">
        <f>VLOOKUP(A67,'March 2022'!$B$61:$C$77,2,FALSE)</f>
        <v>-1</v>
      </c>
    </row>
    <row r="68" spans="1:21" x14ac:dyDescent="0.25">
      <c r="A68" s="12" t="s">
        <v>40</v>
      </c>
      <c r="B68" s="1">
        <v>-2</v>
      </c>
      <c r="C68" s="1">
        <v>-8</v>
      </c>
      <c r="D68" s="1">
        <v>-6</v>
      </c>
      <c r="E68" s="1">
        <v>-4</v>
      </c>
      <c r="F68" s="1">
        <v>-10</v>
      </c>
      <c r="G68" s="1">
        <v>1</v>
      </c>
      <c r="H68" s="1">
        <v>-6</v>
      </c>
      <c r="I68" s="1">
        <v>-5</v>
      </c>
      <c r="J68" s="1">
        <v>-9</v>
      </c>
      <c r="K68" s="1">
        <v>-10</v>
      </c>
      <c r="L68" s="1">
        <v>-8</v>
      </c>
      <c r="M68" s="1">
        <v>-5</v>
      </c>
      <c r="N68" s="2">
        <v>8</v>
      </c>
      <c r="O68" s="2">
        <v>-6</v>
      </c>
      <c r="P68" s="2">
        <v>-13</v>
      </c>
      <c r="Q68" s="2">
        <v>-13</v>
      </c>
      <c r="R68" s="2">
        <v>-8</v>
      </c>
      <c r="S68" s="2">
        <f>VLOOKUP(A68,'January 2022'!$B$53:$C$70,2,FALSE)</f>
        <v>-10</v>
      </c>
      <c r="T68" s="2">
        <f>VLOOKUP(A68,'February 2022'!$B$55:$C$70,2,FALSE)</f>
        <v>-8</v>
      </c>
      <c r="U68" s="2">
        <f>VLOOKUP(A68,'March 2022'!$B$61:$C$77,2,FALSE)</f>
        <v>-14</v>
      </c>
    </row>
    <row r="69" spans="1:21" x14ac:dyDescent="0.25">
      <c r="A69" s="12" t="s">
        <v>35</v>
      </c>
      <c r="B69" s="1">
        <v>-15</v>
      </c>
      <c r="C69" s="1">
        <v>-13</v>
      </c>
      <c r="D69" s="1">
        <v>-11</v>
      </c>
      <c r="E69" s="1">
        <v>-14</v>
      </c>
      <c r="F69" s="1">
        <v>-15</v>
      </c>
      <c r="G69" s="1">
        <v>-6</v>
      </c>
      <c r="H69" s="1">
        <v>-13</v>
      </c>
      <c r="I69" s="1">
        <v>-13</v>
      </c>
      <c r="J69" s="1">
        <v>-3</v>
      </c>
      <c r="K69" s="1">
        <v>-12</v>
      </c>
      <c r="L69" s="1">
        <v>-7</v>
      </c>
      <c r="M69" s="1">
        <v>0</v>
      </c>
      <c r="N69" s="2">
        <v>12</v>
      </c>
      <c r="O69" s="2">
        <v>-5</v>
      </c>
      <c r="P69" s="2">
        <v>-7</v>
      </c>
      <c r="Q69" s="2">
        <v>-15</v>
      </c>
      <c r="R69" s="2">
        <v>-6</v>
      </c>
      <c r="S69" s="2">
        <f>VLOOKUP(A69,'January 2022'!$B$53:$C$70,2,FALSE)</f>
        <v>1</v>
      </c>
      <c r="T69" s="2">
        <f>VLOOKUP(A69,'February 2022'!$B$55:$C$70,2,FALSE)</f>
        <v>-10</v>
      </c>
      <c r="U69" s="2">
        <f>VLOOKUP(A69,'March 2022'!$B$61:$C$77,2,FALSE)</f>
        <v>-6</v>
      </c>
    </row>
    <row r="70" spans="1:21" x14ac:dyDescent="0.25">
      <c r="A70" s="12" t="s">
        <v>28</v>
      </c>
      <c r="B70" s="1">
        <v>-7</v>
      </c>
      <c r="C70" s="1">
        <v>-5</v>
      </c>
      <c r="D70" s="1">
        <v>-5</v>
      </c>
      <c r="E70" s="1">
        <v>-8</v>
      </c>
      <c r="F70" s="1">
        <v>-1</v>
      </c>
      <c r="G70" s="1">
        <v>-4</v>
      </c>
      <c r="H70" s="1">
        <v>-2</v>
      </c>
      <c r="I70" s="1">
        <v>-3</v>
      </c>
      <c r="J70" s="1">
        <v>-8</v>
      </c>
      <c r="K70" s="1">
        <v>-6</v>
      </c>
      <c r="L70" s="1">
        <v>-2</v>
      </c>
      <c r="M70" s="1">
        <v>-10</v>
      </c>
      <c r="N70" s="2">
        <v>10</v>
      </c>
      <c r="O70" s="2">
        <v>-8</v>
      </c>
      <c r="P70" s="2">
        <v>-2</v>
      </c>
      <c r="Q70" s="2">
        <v>-4</v>
      </c>
      <c r="R70" s="2">
        <v>-4</v>
      </c>
      <c r="S70" s="2">
        <f>VLOOKUP(A70,'January 2022'!$B$53:$C$70,2,FALSE)</f>
        <v>-2</v>
      </c>
      <c r="T70" s="2">
        <f>VLOOKUP(A70,'February 2022'!$B$55:$C$70,2,FALSE)</f>
        <v>-15</v>
      </c>
      <c r="U70" s="2">
        <f>VLOOKUP(A70,'March 2022'!$B$61:$C$77,2,FALSE)</f>
        <v>-12</v>
      </c>
    </row>
    <row r="71" spans="1:21" x14ac:dyDescent="0.25">
      <c r="A71" s="12" t="s">
        <v>15</v>
      </c>
      <c r="B71" s="1">
        <v>-1</v>
      </c>
      <c r="C71" s="1">
        <v>0</v>
      </c>
      <c r="D71" s="1">
        <v>-7</v>
      </c>
      <c r="E71" s="1">
        <v>-3</v>
      </c>
      <c r="F71" s="1">
        <v>-12</v>
      </c>
      <c r="G71" s="1">
        <v>-1</v>
      </c>
      <c r="H71" s="1">
        <v>-3</v>
      </c>
      <c r="I71" s="1">
        <v>-2</v>
      </c>
      <c r="J71" s="1">
        <v>-5</v>
      </c>
      <c r="K71" s="1">
        <v>-4</v>
      </c>
      <c r="L71" s="1">
        <v>-3</v>
      </c>
      <c r="M71" s="1">
        <v>-3</v>
      </c>
      <c r="N71" s="2">
        <v>2</v>
      </c>
      <c r="O71" s="2">
        <v>-2</v>
      </c>
      <c r="P71" s="2">
        <v>-3</v>
      </c>
      <c r="Q71" s="2">
        <v>-3</v>
      </c>
      <c r="R71" s="2">
        <v>-5</v>
      </c>
      <c r="S71" s="2">
        <f>VLOOKUP(A71,'January 2022'!$B$53:$C$70,2,FALSE)</f>
        <v>-1</v>
      </c>
      <c r="T71" s="2">
        <f>VLOOKUP(A71,'February 2022'!$B$55:$C$70,2,FALSE)</f>
        <v>-1</v>
      </c>
      <c r="U71" s="2">
        <f>VLOOKUP(A71,'March 2022'!$B$61:$C$77,2,FALSE)</f>
        <v>1</v>
      </c>
    </row>
    <row r="72" spans="1:21" x14ac:dyDescent="0.25">
      <c r="A72" s="12" t="s">
        <v>16</v>
      </c>
      <c r="B72" s="1">
        <v>0</v>
      </c>
      <c r="C72" s="1">
        <v>0</v>
      </c>
      <c r="D72" s="1">
        <v>0</v>
      </c>
      <c r="E72" s="1">
        <v>0</v>
      </c>
      <c r="F72" s="1">
        <v>-8</v>
      </c>
      <c r="G72" s="1">
        <v>-7</v>
      </c>
      <c r="H72" s="1">
        <v>-8</v>
      </c>
      <c r="I72" s="1">
        <v>-12</v>
      </c>
      <c r="J72" s="1">
        <v>-6</v>
      </c>
      <c r="K72" s="1">
        <v>-7</v>
      </c>
      <c r="L72" s="1">
        <v>-10</v>
      </c>
      <c r="M72" s="1">
        <v>-2</v>
      </c>
      <c r="N72" s="2">
        <v>16</v>
      </c>
      <c r="O72" s="2">
        <v>-14</v>
      </c>
      <c r="P72" s="2">
        <v>0</v>
      </c>
      <c r="Q72" s="2">
        <v>-6</v>
      </c>
      <c r="R72" s="2">
        <v>-10</v>
      </c>
      <c r="S72" s="2">
        <f>VLOOKUP(A72,'January 2022'!$B$53:$C$70,2,FALSE)</f>
        <v>-8</v>
      </c>
      <c r="T72" s="2">
        <v>0</v>
      </c>
      <c r="U72" s="2">
        <f>VLOOKUP(A72,'March 2022'!$B$61:$C$77,2,FALSE)</f>
        <v>-9</v>
      </c>
    </row>
    <row r="73" spans="1:21" x14ac:dyDescent="0.25">
      <c r="A73" s="12" t="s">
        <v>34</v>
      </c>
      <c r="B73" s="1">
        <v>-6</v>
      </c>
      <c r="C73" s="1">
        <v>-3</v>
      </c>
      <c r="D73" s="1">
        <v>0</v>
      </c>
      <c r="E73" s="1">
        <v>-2</v>
      </c>
      <c r="F73" s="1">
        <v>-3</v>
      </c>
      <c r="G73" s="1">
        <v>0</v>
      </c>
      <c r="H73" s="1">
        <v>-4</v>
      </c>
      <c r="I73" s="1">
        <v>-1</v>
      </c>
      <c r="J73" s="1">
        <v>-2</v>
      </c>
      <c r="K73" s="1">
        <v>-2</v>
      </c>
      <c r="L73" s="1">
        <v>-4</v>
      </c>
      <c r="M73" s="1">
        <v>-9</v>
      </c>
      <c r="N73" s="2">
        <v>9</v>
      </c>
      <c r="O73" s="2">
        <v>-12</v>
      </c>
      <c r="P73" s="2">
        <v>-5</v>
      </c>
      <c r="Q73" s="2">
        <v>-12</v>
      </c>
      <c r="R73" s="2">
        <v>-3</v>
      </c>
      <c r="S73" s="2">
        <f>VLOOKUP(A73,'January 2022'!$B$53:$C$70,2,FALSE)</f>
        <v>-4</v>
      </c>
      <c r="T73" s="2">
        <f>VLOOKUP(A73,'February 2022'!$B$55:$C$70,2,FALSE)</f>
        <v>-7</v>
      </c>
      <c r="U73" s="2">
        <f>VLOOKUP(A73,'March 2022'!$B$61:$C$77,2,FALSE)</f>
        <v>-8</v>
      </c>
    </row>
    <row r="74" spans="1:21" x14ac:dyDescent="0.25">
      <c r="A74" s="12" t="s">
        <v>20</v>
      </c>
      <c r="B74" s="1">
        <v>-14</v>
      </c>
      <c r="C74" s="1">
        <v>-11</v>
      </c>
      <c r="D74" s="1">
        <v>-9</v>
      </c>
      <c r="E74" s="1">
        <v>-11</v>
      </c>
      <c r="F74" s="1">
        <v>-7</v>
      </c>
      <c r="G74" s="1">
        <v>-5</v>
      </c>
      <c r="H74" s="1">
        <v>-14</v>
      </c>
      <c r="I74" s="1">
        <v>-10</v>
      </c>
      <c r="J74" s="1">
        <v>-16</v>
      </c>
      <c r="K74" s="1">
        <v>-13</v>
      </c>
      <c r="L74" s="1">
        <v>-15</v>
      </c>
      <c r="M74" s="1">
        <v>-8</v>
      </c>
      <c r="N74" s="2">
        <v>14</v>
      </c>
      <c r="O74" s="2">
        <v>-9</v>
      </c>
      <c r="P74" s="2">
        <v>-14</v>
      </c>
      <c r="Q74" s="2">
        <v>-14</v>
      </c>
      <c r="R74" s="2">
        <v>-12</v>
      </c>
      <c r="S74" s="2">
        <f>VLOOKUP(A74,'January 2022'!$B$53:$C$70,2,FALSE)</f>
        <v>-13</v>
      </c>
      <c r="T74" s="2">
        <f>VLOOKUP(A74,'February 2022'!$B$55:$C$70,2,FALSE)</f>
        <v>-13</v>
      </c>
      <c r="U74" s="2">
        <f>VLOOKUP(A74,'March 2022'!$B$61:$C$77,2,FALSE)</f>
        <v>-11</v>
      </c>
    </row>
    <row r="75" spans="1:21" x14ac:dyDescent="0.25">
      <c r="A75" s="12" t="s">
        <v>27</v>
      </c>
      <c r="B75" s="1">
        <v>-8</v>
      </c>
      <c r="C75" s="1">
        <v>-2</v>
      </c>
      <c r="D75" s="1">
        <v>-3</v>
      </c>
      <c r="E75" s="1">
        <v>-1</v>
      </c>
      <c r="F75" s="1">
        <v>-4</v>
      </c>
      <c r="G75" s="1">
        <v>-2</v>
      </c>
      <c r="H75" s="1">
        <v>1</v>
      </c>
      <c r="I75" s="1">
        <v>2</v>
      </c>
      <c r="J75" s="1">
        <v>-1</v>
      </c>
      <c r="K75" s="1">
        <v>-1</v>
      </c>
      <c r="L75" s="1">
        <v>-12</v>
      </c>
      <c r="M75" s="1">
        <v>-4</v>
      </c>
      <c r="N75" s="2">
        <v>4</v>
      </c>
      <c r="O75" s="2">
        <v>-7</v>
      </c>
      <c r="P75" s="2">
        <v>-10</v>
      </c>
      <c r="Q75" s="2">
        <v>-9</v>
      </c>
      <c r="R75" s="2">
        <v>-7</v>
      </c>
      <c r="S75" s="2">
        <f>VLOOKUP(A75,'January 2022'!$B$53:$C$70,2,FALSE)</f>
        <v>-12</v>
      </c>
      <c r="T75" s="2">
        <f>VLOOKUP(A75,'February 2022'!$B$55:$C$70,2,FALSE)</f>
        <v>-6</v>
      </c>
      <c r="U75" s="2">
        <f>VLOOKUP(A75,'March 2022'!$B$61:$C$77,2,FALSE)</f>
        <v>-13</v>
      </c>
    </row>
    <row r="76" spans="1:21" x14ac:dyDescent="0.25">
      <c r="A76" s="12" t="s">
        <v>1</v>
      </c>
      <c r="B76" s="1">
        <v>0</v>
      </c>
      <c r="C76" s="1">
        <v>0</v>
      </c>
      <c r="D76" s="1">
        <v>0</v>
      </c>
      <c r="E76" s="1">
        <v>0</v>
      </c>
      <c r="F76" s="1">
        <v>0</v>
      </c>
      <c r="G76" s="1">
        <v>0</v>
      </c>
      <c r="H76" s="1">
        <v>0</v>
      </c>
      <c r="I76" s="1">
        <v>-8</v>
      </c>
      <c r="J76" s="1">
        <v>-10</v>
      </c>
      <c r="K76" s="1">
        <v>1</v>
      </c>
      <c r="L76" s="1">
        <v>0</v>
      </c>
      <c r="M76" s="1">
        <v>-15</v>
      </c>
      <c r="N76" s="2">
        <v>0</v>
      </c>
      <c r="O76" s="2">
        <v>0</v>
      </c>
      <c r="P76" s="2">
        <v>-4</v>
      </c>
      <c r="Q76" s="2">
        <v>0</v>
      </c>
      <c r="R76" s="2">
        <v>0</v>
      </c>
      <c r="S76" s="2">
        <f>VLOOKUP(A76,'January 2022'!$B$53:$C$70,2,FALSE)</f>
        <v>-9</v>
      </c>
      <c r="T76" s="2">
        <v>0</v>
      </c>
      <c r="U76" s="2">
        <v>0</v>
      </c>
    </row>
    <row r="77" spans="1:21" x14ac:dyDescent="0.25">
      <c r="A77" s="12" t="s">
        <v>31</v>
      </c>
      <c r="B77" s="1">
        <v>-10</v>
      </c>
      <c r="C77" s="1">
        <v>-6</v>
      </c>
      <c r="D77" s="1">
        <v>-10</v>
      </c>
      <c r="E77" s="1">
        <v>-6</v>
      </c>
      <c r="F77" s="1">
        <v>-9</v>
      </c>
      <c r="G77" s="1">
        <v>-11</v>
      </c>
      <c r="H77" s="1">
        <v>-5</v>
      </c>
      <c r="I77" s="1">
        <v>0</v>
      </c>
      <c r="J77" s="1">
        <v>0</v>
      </c>
      <c r="K77" s="1">
        <v>-17</v>
      </c>
      <c r="L77" s="1">
        <v>-17</v>
      </c>
      <c r="M77" s="1">
        <v>-16</v>
      </c>
      <c r="N77" s="2">
        <v>17</v>
      </c>
      <c r="O77" s="2">
        <v>-16</v>
      </c>
      <c r="P77" s="2">
        <v>-15</v>
      </c>
      <c r="Q77" s="2">
        <v>-16</v>
      </c>
      <c r="R77" s="2">
        <v>-15</v>
      </c>
      <c r="S77" s="2">
        <f>VLOOKUP(A77,'January 2022'!$B$53:$C$70,2,FALSE)</f>
        <v>-16</v>
      </c>
      <c r="T77" s="2">
        <f>VLOOKUP(A77,'February 2022'!$B$55:$C$70,2,FALSE)</f>
        <v>-12</v>
      </c>
      <c r="U77" s="2">
        <f>VLOOKUP(A77,'March 2022'!$B$61:$C$77,2,FALSE)</f>
        <v>-2</v>
      </c>
    </row>
    <row r="78" spans="1:21" x14ac:dyDescent="0.25">
      <c r="A78" s="12" t="s">
        <v>18</v>
      </c>
      <c r="B78" s="1">
        <v>-11</v>
      </c>
      <c r="C78" s="1">
        <v>1</v>
      </c>
      <c r="D78" s="1">
        <v>-2</v>
      </c>
      <c r="E78" s="1">
        <v>-7</v>
      </c>
      <c r="F78" s="1">
        <v>-6</v>
      </c>
      <c r="G78" s="1">
        <v>-8</v>
      </c>
      <c r="H78" s="1">
        <v>-9</v>
      </c>
      <c r="I78" s="1">
        <v>-4</v>
      </c>
      <c r="J78" s="1">
        <v>-12</v>
      </c>
      <c r="K78" s="1">
        <v>-9</v>
      </c>
      <c r="L78" s="1">
        <v>-14</v>
      </c>
      <c r="M78" s="1">
        <v>-13</v>
      </c>
      <c r="N78" s="2">
        <v>11</v>
      </c>
      <c r="O78" s="2">
        <v>-3</v>
      </c>
      <c r="P78" s="2">
        <v>-8</v>
      </c>
      <c r="Q78" s="2">
        <v>-2</v>
      </c>
      <c r="R78" s="2">
        <v>-13</v>
      </c>
      <c r="S78" s="2">
        <f>VLOOKUP(A78,'January 2022'!$B$53:$C$70,2,FALSE)</f>
        <v>-11</v>
      </c>
      <c r="T78" s="2">
        <f>VLOOKUP(A78,'February 2022'!$B$55:$C$70,2,FALSE)</f>
        <v>-2</v>
      </c>
      <c r="U78" s="2">
        <f>VLOOKUP(A78,'March 2022'!$B$61:$C$77,2,FALSE)</f>
        <v>-16</v>
      </c>
    </row>
    <row r="79" spans="1:21" x14ac:dyDescent="0.25">
      <c r="A79" s="12" t="s">
        <v>29</v>
      </c>
      <c r="B79" s="1">
        <v>-9</v>
      </c>
      <c r="C79" s="1">
        <v>2</v>
      </c>
      <c r="D79" s="1">
        <v>0</v>
      </c>
      <c r="E79" s="1">
        <v>0</v>
      </c>
      <c r="F79" s="1">
        <v>-16</v>
      </c>
      <c r="G79" s="1">
        <v>0</v>
      </c>
      <c r="H79" s="1">
        <v>-12</v>
      </c>
      <c r="I79" s="1">
        <v>-9</v>
      </c>
      <c r="J79" s="1">
        <v>-11</v>
      </c>
      <c r="K79" s="1">
        <v>-11</v>
      </c>
      <c r="L79" s="1">
        <v>-13</v>
      </c>
      <c r="M79" s="1">
        <v>-17</v>
      </c>
      <c r="N79" s="2">
        <v>15</v>
      </c>
      <c r="O79" s="2">
        <v>-4</v>
      </c>
      <c r="P79" s="2">
        <v>-17</v>
      </c>
      <c r="Q79" s="2">
        <v>-17</v>
      </c>
      <c r="R79" s="2">
        <v>0</v>
      </c>
      <c r="S79" s="2">
        <f>VLOOKUP(A79,'January 2022'!$B$53:$C$70,2,FALSE)</f>
        <v>-17</v>
      </c>
      <c r="T79" s="2">
        <f>VLOOKUP(A79,'February 2022'!$B$55:$C$70,2,FALSE)</f>
        <v>-16</v>
      </c>
      <c r="U79" s="2">
        <f>VLOOKUP(A79,'March 2022'!$B$61:$C$77,2,FALSE)</f>
        <v>-10</v>
      </c>
    </row>
    <row r="81" spans="1:21" ht="18.75" x14ac:dyDescent="0.3">
      <c r="A81" s="13" t="s">
        <v>26</v>
      </c>
      <c r="B81" s="9" t="s">
        <v>54</v>
      </c>
      <c r="C81" s="9" t="s">
        <v>55</v>
      </c>
      <c r="D81" s="9" t="s">
        <v>56</v>
      </c>
      <c r="E81" s="9" t="s">
        <v>57</v>
      </c>
      <c r="F81" s="9" t="s">
        <v>58</v>
      </c>
      <c r="G81" s="10">
        <v>44197</v>
      </c>
      <c r="H81" s="11">
        <v>44248</v>
      </c>
      <c r="I81" s="11">
        <v>44276</v>
      </c>
      <c r="J81" s="11">
        <v>44307</v>
      </c>
      <c r="K81" s="11">
        <v>44337</v>
      </c>
      <c r="L81" s="11">
        <v>44368</v>
      </c>
      <c r="M81" s="11">
        <v>44398</v>
      </c>
      <c r="N81" s="11">
        <v>44429</v>
      </c>
      <c r="O81" s="11">
        <v>44460</v>
      </c>
      <c r="P81" s="11">
        <v>44490</v>
      </c>
      <c r="Q81" s="11">
        <v>44521</v>
      </c>
      <c r="R81" s="30">
        <v>44916</v>
      </c>
      <c r="S81" s="11" t="s">
        <v>3811</v>
      </c>
      <c r="T81" s="30" t="s">
        <v>3812</v>
      </c>
      <c r="U81" s="11" t="s">
        <v>3813</v>
      </c>
    </row>
    <row r="82" spans="1:21" x14ac:dyDescent="0.25">
      <c r="A82" s="12" t="s">
        <v>41</v>
      </c>
      <c r="B82" s="1">
        <v>0</v>
      </c>
      <c r="C82" s="1">
        <v>0</v>
      </c>
      <c r="D82" s="1">
        <v>0</v>
      </c>
      <c r="E82" s="1">
        <v>0</v>
      </c>
      <c r="F82" s="1">
        <v>0</v>
      </c>
      <c r="G82" s="1">
        <v>0</v>
      </c>
      <c r="H82" s="1">
        <v>4</v>
      </c>
      <c r="I82" s="1">
        <v>2</v>
      </c>
      <c r="J82" s="1">
        <v>4</v>
      </c>
      <c r="K82" s="1">
        <v>6</v>
      </c>
      <c r="L82" s="1">
        <v>-4</v>
      </c>
      <c r="M82" s="1">
        <v>0</v>
      </c>
      <c r="N82" s="2">
        <v>-7</v>
      </c>
      <c r="O82" s="2">
        <v>0</v>
      </c>
      <c r="P82" s="2">
        <v>0</v>
      </c>
      <c r="Q82" s="2">
        <v>0</v>
      </c>
      <c r="R82" s="2">
        <v>3</v>
      </c>
      <c r="S82" s="2">
        <v>0</v>
      </c>
      <c r="T82" s="2">
        <f>VLOOKUP(A82,'February 2022'!$B$73:$C$88,2,FALSE)</f>
        <v>9</v>
      </c>
      <c r="U82" s="2">
        <v>0</v>
      </c>
    </row>
    <row r="83" spans="1:21" x14ac:dyDescent="0.25">
      <c r="A83" s="12" t="s">
        <v>36</v>
      </c>
      <c r="B83" s="1">
        <v>-2</v>
      </c>
      <c r="C83" s="1">
        <v>3</v>
      </c>
      <c r="D83" s="1">
        <v>4</v>
      </c>
      <c r="E83" s="1">
        <v>3</v>
      </c>
      <c r="F83" s="1">
        <v>4</v>
      </c>
      <c r="G83" s="1">
        <v>0</v>
      </c>
      <c r="H83" s="1">
        <v>1</v>
      </c>
      <c r="I83" s="1">
        <v>5</v>
      </c>
      <c r="J83" s="1">
        <v>3</v>
      </c>
      <c r="K83" s="1">
        <v>5</v>
      </c>
      <c r="L83" s="1">
        <v>4</v>
      </c>
      <c r="M83" s="1">
        <v>3</v>
      </c>
      <c r="N83" s="2">
        <v>2</v>
      </c>
      <c r="O83" s="2">
        <v>2</v>
      </c>
      <c r="P83" s="2">
        <v>0</v>
      </c>
      <c r="Q83" s="2">
        <v>-1</v>
      </c>
      <c r="R83" s="2">
        <v>1</v>
      </c>
      <c r="S83" s="2">
        <f>VLOOKUP(A83,'January 2022'!$B$73:$C$85,2,FALSE)</f>
        <v>6</v>
      </c>
      <c r="T83" s="2">
        <f>VLOOKUP(A83,'February 2022'!$B$73:$C$88,2,FALSE)</f>
        <v>6</v>
      </c>
      <c r="U83" s="2">
        <f>VLOOKUP(A83,'March 2022'!$B$80:$C$90,2,FALSE)</f>
        <v>2</v>
      </c>
    </row>
    <row r="84" spans="1:21" x14ac:dyDescent="0.25">
      <c r="A84" s="12" t="s">
        <v>25</v>
      </c>
      <c r="B84" s="1">
        <v>3</v>
      </c>
      <c r="C84" s="1">
        <v>6</v>
      </c>
      <c r="D84" s="1">
        <v>0</v>
      </c>
      <c r="E84" s="1">
        <v>0</v>
      </c>
      <c r="F84" s="1">
        <v>8</v>
      </c>
      <c r="G84" s="1">
        <v>-2</v>
      </c>
      <c r="H84" s="1">
        <v>-4</v>
      </c>
      <c r="I84" s="1">
        <v>-4</v>
      </c>
      <c r="J84" s="1">
        <v>0</v>
      </c>
      <c r="K84" s="1">
        <v>0</v>
      </c>
      <c r="L84" s="1">
        <v>0</v>
      </c>
      <c r="M84" s="1">
        <v>5</v>
      </c>
      <c r="N84" s="2">
        <v>-9</v>
      </c>
      <c r="O84" s="2">
        <v>-4</v>
      </c>
      <c r="P84" s="2">
        <v>-4</v>
      </c>
      <c r="Q84" s="2">
        <v>-5</v>
      </c>
      <c r="R84" s="2">
        <v>0</v>
      </c>
      <c r="S84" s="2">
        <f>VLOOKUP(A84,'January 2022'!$B$73:$C$85,2,FALSE)</f>
        <v>-5</v>
      </c>
      <c r="T84" s="2">
        <f>VLOOKUP(A84,'February 2022'!$B$73:$C$88,2,FALSE)</f>
        <v>-3</v>
      </c>
      <c r="U84" s="2">
        <f>VLOOKUP(A84,'March 2022'!$B$80:$C$90,2,FALSE)</f>
        <v>7</v>
      </c>
    </row>
    <row r="85" spans="1:21" x14ac:dyDescent="0.25">
      <c r="A85" s="12" t="s">
        <v>43</v>
      </c>
      <c r="B85" s="1">
        <v>4</v>
      </c>
      <c r="C85" s="1">
        <v>5</v>
      </c>
      <c r="D85" s="1">
        <v>3</v>
      </c>
      <c r="E85" s="1">
        <v>7</v>
      </c>
      <c r="F85" s="1">
        <v>5</v>
      </c>
      <c r="G85" s="1">
        <v>4</v>
      </c>
      <c r="H85" s="1">
        <v>-1</v>
      </c>
      <c r="I85" s="1">
        <v>-2</v>
      </c>
      <c r="J85" s="1">
        <v>-3</v>
      </c>
      <c r="K85" s="1">
        <v>-5</v>
      </c>
      <c r="L85" s="1">
        <v>-2</v>
      </c>
      <c r="M85" s="1">
        <v>-5</v>
      </c>
      <c r="N85" s="2">
        <v>4</v>
      </c>
      <c r="O85" s="2">
        <v>1</v>
      </c>
      <c r="P85" s="2">
        <v>1</v>
      </c>
      <c r="Q85" s="2">
        <v>2</v>
      </c>
      <c r="R85" s="2">
        <v>2</v>
      </c>
      <c r="S85" s="2">
        <f>VLOOKUP(A85,'January 2022'!$B$73:$C$85,2,FALSE)</f>
        <v>3</v>
      </c>
      <c r="T85" s="2">
        <f>VLOOKUP(A85,'February 2022'!$B$73:$C$88,2,FALSE)</f>
        <v>3</v>
      </c>
      <c r="U85" s="2">
        <f>VLOOKUP(A85,'March 2022'!$B$80:$C$90,2,FALSE)</f>
        <v>-1</v>
      </c>
    </row>
    <row r="86" spans="1:21" x14ac:dyDescent="0.25">
      <c r="A86" s="12" t="s">
        <v>38</v>
      </c>
      <c r="B86" s="1">
        <v>0</v>
      </c>
      <c r="C86" s="1">
        <v>0</v>
      </c>
      <c r="D86" s="1">
        <v>7</v>
      </c>
      <c r="E86" s="1">
        <v>-4</v>
      </c>
      <c r="F86" s="1">
        <v>-2</v>
      </c>
      <c r="G86" s="1">
        <v>-5</v>
      </c>
      <c r="H86" s="1">
        <v>0</v>
      </c>
      <c r="I86" s="1">
        <v>8</v>
      </c>
      <c r="J86" s="1">
        <v>0</v>
      </c>
      <c r="K86" s="1">
        <v>0</v>
      </c>
      <c r="L86" s="1">
        <v>2</v>
      </c>
      <c r="M86" s="1">
        <v>-2</v>
      </c>
      <c r="N86" s="2">
        <v>-3</v>
      </c>
      <c r="O86" s="2">
        <v>8</v>
      </c>
      <c r="P86" s="2">
        <v>-3</v>
      </c>
      <c r="Q86" s="2">
        <v>-4</v>
      </c>
      <c r="R86" s="2">
        <v>4</v>
      </c>
      <c r="S86" s="2">
        <f>VLOOKUP(A86,'January 2022'!$B$73:$C$85,2,FALSE)</f>
        <v>-2</v>
      </c>
      <c r="T86" s="2">
        <f>VLOOKUP(A86,'February 2022'!$B$73:$C$88,2,FALSE)</f>
        <v>7</v>
      </c>
      <c r="U86" s="2">
        <v>0</v>
      </c>
    </row>
    <row r="87" spans="1:21" x14ac:dyDescent="0.25">
      <c r="A87" s="12" t="s">
        <v>23</v>
      </c>
      <c r="B87" s="1">
        <v>5</v>
      </c>
      <c r="C87" s="1">
        <v>4</v>
      </c>
      <c r="D87" s="1">
        <v>2</v>
      </c>
      <c r="E87" s="1">
        <v>6</v>
      </c>
      <c r="F87" s="1">
        <v>0</v>
      </c>
      <c r="G87" s="1">
        <v>0</v>
      </c>
      <c r="H87" s="1">
        <v>0</v>
      </c>
      <c r="I87" s="1">
        <v>9</v>
      </c>
      <c r="J87" s="1">
        <v>2</v>
      </c>
      <c r="K87" s="1">
        <v>2</v>
      </c>
      <c r="L87" s="1">
        <v>0</v>
      </c>
      <c r="M87" s="1">
        <v>7</v>
      </c>
      <c r="N87" s="2">
        <v>0</v>
      </c>
      <c r="O87" s="2">
        <v>0</v>
      </c>
      <c r="P87" s="2">
        <v>0</v>
      </c>
      <c r="Q87" s="2">
        <v>6</v>
      </c>
      <c r="R87" s="2">
        <v>-5</v>
      </c>
      <c r="S87" s="2">
        <v>0</v>
      </c>
      <c r="T87" s="2">
        <f>VLOOKUP(A87,'February 2022'!$B$73:$C$88,2,FALSE)</f>
        <v>5</v>
      </c>
      <c r="U87" s="2">
        <v>0</v>
      </c>
    </row>
    <row r="88" spans="1:21" x14ac:dyDescent="0.25">
      <c r="A88" s="12" t="s">
        <v>40</v>
      </c>
      <c r="B88" s="1">
        <v>2</v>
      </c>
      <c r="C88" s="1">
        <v>0</v>
      </c>
      <c r="D88" s="1">
        <v>0</v>
      </c>
      <c r="E88" s="1">
        <v>5</v>
      </c>
      <c r="F88" s="1">
        <v>6</v>
      </c>
      <c r="G88" s="1">
        <v>3</v>
      </c>
      <c r="H88" s="1">
        <v>-2</v>
      </c>
      <c r="I88" s="1">
        <v>6</v>
      </c>
      <c r="J88" s="1">
        <v>5</v>
      </c>
      <c r="K88" s="1">
        <v>-1</v>
      </c>
      <c r="L88" s="1">
        <v>3</v>
      </c>
      <c r="M88" s="1">
        <v>4</v>
      </c>
      <c r="N88" s="2">
        <v>1</v>
      </c>
      <c r="O88" s="2">
        <v>5</v>
      </c>
      <c r="P88" s="2">
        <v>2</v>
      </c>
      <c r="Q88" s="2">
        <v>1</v>
      </c>
      <c r="R88" s="2">
        <v>0</v>
      </c>
      <c r="S88" s="2">
        <f>VLOOKUP(A88,'January 2022'!$B$73:$C$85,2,FALSE)</f>
        <v>4</v>
      </c>
      <c r="T88" s="2">
        <f>VLOOKUP(A88,'February 2022'!$B$73:$C$88,2,FALSE)</f>
        <v>4</v>
      </c>
      <c r="U88" s="2">
        <f>VLOOKUP(A88,'March 2022'!$B$80:$C$90,2,FALSE)</f>
        <v>5</v>
      </c>
    </row>
    <row r="89" spans="1:21" x14ac:dyDescent="0.25">
      <c r="A89" s="12" t="s">
        <v>35</v>
      </c>
      <c r="B89" s="1">
        <v>0</v>
      </c>
      <c r="C89" s="1">
        <v>-3</v>
      </c>
      <c r="D89" s="1">
        <v>0</v>
      </c>
      <c r="E89" s="1">
        <v>8</v>
      </c>
      <c r="F89" s="1">
        <v>10</v>
      </c>
      <c r="G89" s="1">
        <v>0</v>
      </c>
      <c r="H89" s="1">
        <v>0</v>
      </c>
      <c r="I89" s="1">
        <v>0</v>
      </c>
      <c r="J89" s="1">
        <v>0</v>
      </c>
      <c r="K89" s="1">
        <v>4</v>
      </c>
      <c r="L89" s="1">
        <v>0</v>
      </c>
      <c r="M89" s="1">
        <v>9</v>
      </c>
      <c r="N89" s="2">
        <v>-6</v>
      </c>
      <c r="O89" s="2">
        <v>-6</v>
      </c>
      <c r="P89" s="2">
        <v>0</v>
      </c>
      <c r="Q89" s="2">
        <v>-7</v>
      </c>
      <c r="R89" s="2">
        <v>5</v>
      </c>
      <c r="S89" s="2">
        <f>VLOOKUP(A89,'January 2022'!$B$73:$C$85,2,FALSE)</f>
        <v>-3</v>
      </c>
      <c r="T89" s="2">
        <f>VLOOKUP(A89,'February 2022'!$B$73:$C$88,2,FALSE)</f>
        <v>-2</v>
      </c>
      <c r="U89" s="2">
        <f>VLOOKUP(A89,'March 2022'!$B$80:$C$90,2,FALSE)</f>
        <v>-2</v>
      </c>
    </row>
    <row r="90" spans="1:21" x14ac:dyDescent="0.25">
      <c r="A90" s="12" t="s">
        <v>28</v>
      </c>
      <c r="B90" s="1">
        <v>1</v>
      </c>
      <c r="C90" s="1">
        <v>2</v>
      </c>
      <c r="D90" s="1">
        <v>6</v>
      </c>
      <c r="E90" s="1">
        <v>-1</v>
      </c>
      <c r="F90" s="1">
        <v>-1</v>
      </c>
      <c r="G90" s="1">
        <v>1</v>
      </c>
      <c r="H90" s="1">
        <v>0</v>
      </c>
      <c r="I90" s="1">
        <v>3</v>
      </c>
      <c r="J90" s="1">
        <v>-1</v>
      </c>
      <c r="K90" s="1">
        <v>-3</v>
      </c>
      <c r="L90" s="1">
        <v>0</v>
      </c>
      <c r="M90" s="1">
        <v>2</v>
      </c>
      <c r="N90" s="2">
        <v>-4</v>
      </c>
      <c r="O90" s="2">
        <v>-2</v>
      </c>
      <c r="P90" s="2">
        <v>-1</v>
      </c>
      <c r="Q90" s="2">
        <v>-2</v>
      </c>
      <c r="R90" s="2">
        <v>-2</v>
      </c>
      <c r="S90" s="2">
        <f>VLOOKUP(A90,'January 2022'!$B$73:$C$85,2,FALSE)</f>
        <v>1</v>
      </c>
      <c r="T90" s="2">
        <f>VLOOKUP(A90,'February 2022'!$B$73:$C$88,2,FALSE)</f>
        <v>2</v>
      </c>
      <c r="U90" s="2">
        <f>VLOOKUP(A90,'March 2022'!$B$80:$C$90,2,FALSE)</f>
        <v>-3</v>
      </c>
    </row>
    <row r="91" spans="1:21" x14ac:dyDescent="0.25">
      <c r="A91" s="12" t="s">
        <v>15</v>
      </c>
      <c r="B91" s="1">
        <v>0</v>
      </c>
      <c r="C91" s="1">
        <v>0</v>
      </c>
      <c r="D91" s="1">
        <v>0</v>
      </c>
      <c r="E91" s="1">
        <v>-2</v>
      </c>
      <c r="F91" s="1">
        <v>2</v>
      </c>
      <c r="G91" s="1">
        <v>-1</v>
      </c>
      <c r="H91" s="1">
        <v>0</v>
      </c>
      <c r="I91" s="1">
        <v>-1</v>
      </c>
      <c r="J91" s="1">
        <v>0</v>
      </c>
      <c r="K91" s="1">
        <v>-2</v>
      </c>
      <c r="L91" s="1">
        <v>1</v>
      </c>
      <c r="M91" s="1">
        <v>1</v>
      </c>
      <c r="N91" s="2">
        <v>-1</v>
      </c>
      <c r="O91" s="2">
        <v>0</v>
      </c>
      <c r="P91" s="2">
        <v>-2</v>
      </c>
      <c r="Q91" s="2">
        <v>-6</v>
      </c>
      <c r="R91" s="2">
        <v>-1</v>
      </c>
      <c r="S91" s="2">
        <v>0</v>
      </c>
      <c r="T91" s="2">
        <f>VLOOKUP(A91,'February 2022'!$B$73:$C$88,2,FALSE)</f>
        <v>-1</v>
      </c>
      <c r="U91" s="2">
        <f>VLOOKUP(A91,'March 2022'!$B$80:$C$90,2,FALSE)</f>
        <v>1</v>
      </c>
    </row>
    <row r="92" spans="1:21" x14ac:dyDescent="0.25">
      <c r="A92" s="12" t="s">
        <v>16</v>
      </c>
      <c r="B92" s="1">
        <v>0</v>
      </c>
      <c r="C92" s="1">
        <v>-5</v>
      </c>
      <c r="D92" s="1">
        <v>-3</v>
      </c>
      <c r="E92" s="1">
        <v>0</v>
      </c>
      <c r="F92" s="1">
        <v>-4</v>
      </c>
      <c r="G92" s="1">
        <v>-3</v>
      </c>
      <c r="H92" s="1">
        <v>3</v>
      </c>
      <c r="I92" s="1">
        <v>0</v>
      </c>
      <c r="J92" s="1">
        <v>7</v>
      </c>
      <c r="K92" s="1">
        <v>3</v>
      </c>
      <c r="L92" s="1">
        <v>0</v>
      </c>
      <c r="M92" s="1">
        <v>-3</v>
      </c>
      <c r="N92" s="2">
        <v>-5</v>
      </c>
      <c r="O92" s="2">
        <v>4</v>
      </c>
      <c r="P92" s="2">
        <v>-5</v>
      </c>
      <c r="Q92" s="2">
        <v>-8</v>
      </c>
      <c r="R92" s="2">
        <v>0</v>
      </c>
      <c r="S92" s="2">
        <v>0</v>
      </c>
      <c r="T92" s="2">
        <f>VLOOKUP(A92,'February 2022'!$B$73:$C$88,2,FALSE)</f>
        <v>-5</v>
      </c>
      <c r="U92" s="2">
        <f>VLOOKUP(A92,'March 2022'!$B$80:$C$90,2,FALSE)</f>
        <v>8</v>
      </c>
    </row>
    <row r="93" spans="1:21" x14ac:dyDescent="0.25">
      <c r="A93" s="12" t="s">
        <v>34</v>
      </c>
      <c r="B93" s="1">
        <v>0</v>
      </c>
      <c r="C93" s="1">
        <v>1</v>
      </c>
      <c r="D93" s="1">
        <v>1</v>
      </c>
      <c r="E93" s="1">
        <v>1</v>
      </c>
      <c r="F93" s="1">
        <v>3</v>
      </c>
      <c r="G93" s="1">
        <v>2</v>
      </c>
      <c r="H93" s="1">
        <v>2</v>
      </c>
      <c r="I93" s="1">
        <v>-3</v>
      </c>
      <c r="J93" s="1">
        <v>1</v>
      </c>
      <c r="K93" s="1">
        <v>-4</v>
      </c>
      <c r="L93" s="1">
        <v>-3</v>
      </c>
      <c r="M93" s="1">
        <v>0</v>
      </c>
      <c r="N93" s="2">
        <v>-2</v>
      </c>
      <c r="O93" s="2">
        <v>-1</v>
      </c>
      <c r="P93" s="2">
        <v>0</v>
      </c>
      <c r="Q93" s="2">
        <v>4</v>
      </c>
      <c r="R93" s="2">
        <v>0</v>
      </c>
      <c r="S93" s="2">
        <f>VLOOKUP(A93,'January 2022'!$B$73:$C$85,2,FALSE)</f>
        <v>-1</v>
      </c>
      <c r="T93" s="2">
        <f>VLOOKUP(A93,'February 2022'!$B$73:$C$88,2,FALSE)</f>
        <v>1</v>
      </c>
      <c r="U93" s="2">
        <v>0</v>
      </c>
    </row>
    <row r="94" spans="1:21" x14ac:dyDescent="0.25">
      <c r="A94" s="12" t="s">
        <v>20</v>
      </c>
      <c r="B94" s="1">
        <v>-1</v>
      </c>
      <c r="C94" s="1">
        <v>-1</v>
      </c>
      <c r="D94" s="1">
        <v>-2</v>
      </c>
      <c r="E94" s="1">
        <v>0</v>
      </c>
      <c r="F94" s="1">
        <v>-3</v>
      </c>
      <c r="G94" s="1">
        <v>0</v>
      </c>
      <c r="H94" s="1">
        <v>-3</v>
      </c>
      <c r="I94" s="1">
        <v>4</v>
      </c>
      <c r="J94" s="1">
        <v>-4</v>
      </c>
      <c r="K94" s="1">
        <v>0</v>
      </c>
      <c r="L94" s="1">
        <v>-1</v>
      </c>
      <c r="M94" s="1">
        <v>0</v>
      </c>
      <c r="N94" s="2">
        <v>3</v>
      </c>
      <c r="O94" s="2">
        <v>7</v>
      </c>
      <c r="P94" s="2">
        <v>4</v>
      </c>
      <c r="Q94" s="2">
        <v>3</v>
      </c>
      <c r="R94" s="2">
        <v>-3</v>
      </c>
      <c r="S94" s="2">
        <f>VLOOKUP(A94,'January 2022'!$B$73:$C$85,2,FALSE)</f>
        <v>5</v>
      </c>
      <c r="T94" s="2">
        <f>VLOOKUP(A94,'February 2022'!$B$73:$C$88,2,FALSE)</f>
        <v>-6</v>
      </c>
      <c r="U94" s="2">
        <v>0</v>
      </c>
    </row>
    <row r="95" spans="1:21" x14ac:dyDescent="0.25">
      <c r="A95" s="12" t="s">
        <v>27</v>
      </c>
      <c r="B95" s="1">
        <v>6</v>
      </c>
      <c r="C95" s="1">
        <v>7</v>
      </c>
      <c r="D95" s="1">
        <v>5</v>
      </c>
      <c r="E95" s="1">
        <v>2</v>
      </c>
      <c r="F95" s="1">
        <v>1</v>
      </c>
      <c r="G95" s="1">
        <v>6</v>
      </c>
      <c r="H95" s="1">
        <v>5</v>
      </c>
      <c r="I95" s="1">
        <v>1</v>
      </c>
      <c r="J95" s="1">
        <v>6</v>
      </c>
      <c r="K95" s="1">
        <v>1</v>
      </c>
      <c r="L95" s="1">
        <v>0</v>
      </c>
      <c r="M95" s="1">
        <v>-4</v>
      </c>
      <c r="N95" s="2">
        <v>0</v>
      </c>
      <c r="O95" s="2">
        <v>6</v>
      </c>
      <c r="P95" s="2">
        <v>3</v>
      </c>
      <c r="Q95" s="2">
        <v>-3</v>
      </c>
      <c r="R95" s="2">
        <v>-4</v>
      </c>
      <c r="S95" s="2">
        <f>VLOOKUP(A95,'January 2022'!$B$73:$C$85,2,FALSE)</f>
        <v>7</v>
      </c>
      <c r="T95" s="2">
        <f>VLOOKUP(A95,'February 2022'!$B$73:$C$88,2,FALSE)</f>
        <v>8</v>
      </c>
      <c r="U95" s="2">
        <f>VLOOKUP(A95,'March 2022'!$B$80:$C$90,2,FALSE)</f>
        <v>4</v>
      </c>
    </row>
    <row r="96" spans="1:21" x14ac:dyDescent="0.25">
      <c r="A96" s="12" t="s">
        <v>1</v>
      </c>
      <c r="B96" s="1">
        <v>0</v>
      </c>
      <c r="C96" s="1">
        <v>-7</v>
      </c>
      <c r="D96" s="1">
        <v>-5</v>
      </c>
      <c r="E96" s="1">
        <v>-6</v>
      </c>
      <c r="F96" s="1">
        <v>11</v>
      </c>
      <c r="G96" s="1">
        <v>-6</v>
      </c>
      <c r="H96" s="1">
        <v>0</v>
      </c>
      <c r="I96" s="1">
        <v>-5</v>
      </c>
      <c r="J96" s="1">
        <v>8</v>
      </c>
      <c r="K96" s="1">
        <v>7</v>
      </c>
      <c r="L96" s="1">
        <v>5</v>
      </c>
      <c r="M96" s="1">
        <v>10</v>
      </c>
      <c r="N96" s="2">
        <v>7</v>
      </c>
      <c r="O96" s="2">
        <v>9</v>
      </c>
      <c r="P96" s="2">
        <v>6</v>
      </c>
      <c r="Q96" s="2">
        <v>7</v>
      </c>
      <c r="R96" s="2">
        <v>0</v>
      </c>
      <c r="S96" s="2">
        <f>VLOOKUP(A96,'January 2022'!$B$73:$C$85,2,FALSE)</f>
        <v>-6</v>
      </c>
      <c r="T96" s="2">
        <f>VLOOKUP(A96,'February 2022'!$B$73:$C$88,2,FALSE)</f>
        <v>-7</v>
      </c>
      <c r="U96" s="2">
        <f>VLOOKUP(A96,'March 2022'!$B$80:$C$90,2,FALSE)</f>
        <v>6</v>
      </c>
    </row>
    <row r="97" spans="1:21" x14ac:dyDescent="0.25">
      <c r="A97" s="12" t="s">
        <v>31</v>
      </c>
      <c r="B97" s="1">
        <v>-3</v>
      </c>
      <c r="C97" s="1">
        <v>-4</v>
      </c>
      <c r="D97" s="1">
        <v>0</v>
      </c>
      <c r="E97" s="1">
        <v>4</v>
      </c>
      <c r="F97" s="1">
        <v>9</v>
      </c>
      <c r="G97" s="1">
        <v>0</v>
      </c>
      <c r="H97" s="1">
        <v>0</v>
      </c>
      <c r="I97" s="1">
        <v>0</v>
      </c>
      <c r="J97" s="1">
        <v>-2</v>
      </c>
      <c r="K97" s="1">
        <v>-6</v>
      </c>
      <c r="L97" s="1">
        <v>0</v>
      </c>
      <c r="M97" s="1">
        <v>6</v>
      </c>
      <c r="N97" s="2">
        <v>6</v>
      </c>
      <c r="O97" s="2">
        <v>3</v>
      </c>
      <c r="P97" s="2">
        <v>5</v>
      </c>
      <c r="Q97" s="2">
        <v>5</v>
      </c>
      <c r="R97" s="2">
        <v>0</v>
      </c>
      <c r="S97" s="2">
        <f>VLOOKUP(A97,'January 2022'!$B$73:$C$85,2,FALSE)</f>
        <v>2</v>
      </c>
      <c r="T97" s="2">
        <f>VLOOKUP(A97,'February 2022'!$B$73:$C$88,2,FALSE)</f>
        <v>-4</v>
      </c>
      <c r="U97" s="2">
        <f>VLOOKUP(A97,'March 2022'!$B$80:$C$90,2,FALSE)</f>
        <v>3</v>
      </c>
    </row>
    <row r="98" spans="1:21" x14ac:dyDescent="0.25">
      <c r="A98" s="12" t="s">
        <v>18</v>
      </c>
      <c r="B98" s="1">
        <v>0</v>
      </c>
      <c r="C98" s="1">
        <v>-2</v>
      </c>
      <c r="D98" s="1">
        <v>-4</v>
      </c>
      <c r="E98" s="1">
        <v>-5</v>
      </c>
      <c r="F98" s="1">
        <v>-5</v>
      </c>
      <c r="G98" s="1">
        <v>5</v>
      </c>
      <c r="H98" s="1">
        <v>0</v>
      </c>
      <c r="I98" s="1">
        <v>7</v>
      </c>
      <c r="J98" s="1">
        <v>0</v>
      </c>
      <c r="K98" s="1">
        <v>0</v>
      </c>
      <c r="L98" s="1">
        <v>0</v>
      </c>
      <c r="M98" s="1">
        <v>8</v>
      </c>
      <c r="N98" s="2">
        <v>5</v>
      </c>
      <c r="O98" s="2">
        <v>-3</v>
      </c>
      <c r="P98" s="2">
        <v>0</v>
      </c>
      <c r="Q98" s="2">
        <v>0</v>
      </c>
      <c r="R98" s="2">
        <v>0</v>
      </c>
      <c r="S98" s="2">
        <f>VLOOKUP(A98,'January 2022'!$B$73:$C$85,2,FALSE)</f>
        <v>-4</v>
      </c>
      <c r="T98" s="2">
        <v>0</v>
      </c>
      <c r="U98" s="2">
        <v>0</v>
      </c>
    </row>
    <row r="99" spans="1:21" x14ac:dyDescent="0.25">
      <c r="A99" s="12" t="s">
        <v>29</v>
      </c>
      <c r="B99" s="1">
        <v>-4</v>
      </c>
      <c r="C99" s="1">
        <v>-6</v>
      </c>
      <c r="D99" s="1">
        <v>0</v>
      </c>
      <c r="E99" s="1">
        <v>-3</v>
      </c>
      <c r="F99" s="1">
        <v>7</v>
      </c>
      <c r="G99" s="1">
        <v>-4</v>
      </c>
      <c r="H99" s="1">
        <v>6</v>
      </c>
      <c r="I99" s="1">
        <v>0</v>
      </c>
      <c r="J99" s="1">
        <v>-5</v>
      </c>
      <c r="K99" s="1">
        <v>0</v>
      </c>
      <c r="L99" s="1">
        <v>0</v>
      </c>
      <c r="M99" s="1">
        <v>-1</v>
      </c>
      <c r="N99" s="2">
        <v>-8</v>
      </c>
      <c r="O99" s="2">
        <v>-5</v>
      </c>
      <c r="P99" s="2">
        <v>-6</v>
      </c>
      <c r="Q99" s="2">
        <v>-9</v>
      </c>
      <c r="R99" s="2">
        <v>-6</v>
      </c>
      <c r="S99" s="2">
        <v>0</v>
      </c>
      <c r="T99" s="2">
        <v>0</v>
      </c>
      <c r="U99" s="2">
        <v>0</v>
      </c>
    </row>
    <row r="101" spans="1:21" ht="18.75" x14ac:dyDescent="0.3">
      <c r="A101" s="13" t="s">
        <v>30</v>
      </c>
      <c r="B101" s="9" t="s">
        <v>54</v>
      </c>
      <c r="C101" s="9" t="s">
        <v>55</v>
      </c>
      <c r="D101" s="9" t="s">
        <v>56</v>
      </c>
      <c r="E101" s="9" t="s">
        <v>57</v>
      </c>
      <c r="F101" s="9" t="s">
        <v>58</v>
      </c>
      <c r="G101" s="10">
        <v>44197</v>
      </c>
      <c r="H101" s="11">
        <v>44248</v>
      </c>
      <c r="I101" s="11">
        <v>44276</v>
      </c>
      <c r="J101" s="11">
        <v>44307</v>
      </c>
      <c r="K101" s="11">
        <v>44337</v>
      </c>
      <c r="L101" s="11">
        <v>44368</v>
      </c>
      <c r="M101" s="11">
        <v>44398</v>
      </c>
      <c r="N101" s="11">
        <v>44429</v>
      </c>
      <c r="O101" s="11">
        <v>44460</v>
      </c>
      <c r="P101" s="11">
        <v>44490</v>
      </c>
      <c r="Q101" s="11">
        <v>44521</v>
      </c>
      <c r="R101" s="30">
        <v>44916</v>
      </c>
      <c r="S101" s="11" t="s">
        <v>3811</v>
      </c>
      <c r="T101" s="30" t="s">
        <v>3812</v>
      </c>
      <c r="U101" s="11" t="s">
        <v>3813</v>
      </c>
    </row>
    <row r="102" spans="1:21" x14ac:dyDescent="0.25">
      <c r="A102" s="12" t="s">
        <v>41</v>
      </c>
      <c r="B102" s="1">
        <v>7</v>
      </c>
      <c r="C102" s="1">
        <v>6</v>
      </c>
      <c r="D102" s="1">
        <v>7</v>
      </c>
      <c r="E102" s="1">
        <v>11</v>
      </c>
      <c r="F102" s="1">
        <v>6</v>
      </c>
      <c r="G102" s="1">
        <v>4</v>
      </c>
      <c r="H102" s="1">
        <v>1</v>
      </c>
      <c r="I102" s="1">
        <v>13</v>
      </c>
      <c r="J102" s="1">
        <v>16</v>
      </c>
      <c r="K102" s="1">
        <v>11</v>
      </c>
      <c r="L102" s="1">
        <v>7</v>
      </c>
      <c r="M102" s="1">
        <v>6</v>
      </c>
      <c r="N102" s="2">
        <v>17</v>
      </c>
      <c r="O102" s="2">
        <v>18</v>
      </c>
      <c r="P102" s="2">
        <v>16</v>
      </c>
      <c r="Q102" s="2">
        <v>14</v>
      </c>
      <c r="R102" s="2">
        <v>16</v>
      </c>
      <c r="S102" s="2">
        <f>VLOOKUP(A102,'January 2022'!$B$88:$C$105,2,FALSE)</f>
        <v>15</v>
      </c>
      <c r="T102" s="2">
        <f>VLOOKUP(A102,'February 2022'!$B$91:$C$108,2,FALSE)</f>
        <v>16</v>
      </c>
      <c r="U102" s="2">
        <f>VLOOKUP(A102,'March 2022'!$B$93:$C$110,2,FALSE)</f>
        <v>17</v>
      </c>
    </row>
    <row r="103" spans="1:21" x14ac:dyDescent="0.25">
      <c r="A103" s="12" t="s">
        <v>36</v>
      </c>
      <c r="B103" s="1">
        <v>12</v>
      </c>
      <c r="C103" s="1">
        <v>11</v>
      </c>
      <c r="D103" s="1">
        <v>11</v>
      </c>
      <c r="E103" s="1">
        <v>12</v>
      </c>
      <c r="F103" s="1">
        <v>10</v>
      </c>
      <c r="G103" s="1">
        <v>16</v>
      </c>
      <c r="H103" s="1">
        <v>14</v>
      </c>
      <c r="I103" s="1">
        <v>17</v>
      </c>
      <c r="J103" s="1">
        <v>12</v>
      </c>
      <c r="K103" s="1">
        <v>17</v>
      </c>
      <c r="L103" s="1">
        <v>13</v>
      </c>
      <c r="M103" s="1">
        <v>13</v>
      </c>
      <c r="N103" s="2">
        <v>16</v>
      </c>
      <c r="O103" s="2">
        <v>14</v>
      </c>
      <c r="P103" s="2">
        <v>15</v>
      </c>
      <c r="Q103" s="2">
        <v>9</v>
      </c>
      <c r="R103" s="2">
        <v>14</v>
      </c>
      <c r="S103" s="2">
        <f>VLOOKUP(A103,'January 2022'!$B$88:$C$105,2,FALSE)</f>
        <v>11</v>
      </c>
      <c r="T103" s="2">
        <f>VLOOKUP(A103,'February 2022'!$B$91:$C$108,2,FALSE)</f>
        <v>17</v>
      </c>
      <c r="U103" s="2">
        <f>VLOOKUP(A103,'March 2022'!$B$93:$C$110,2,FALSE)</f>
        <v>10</v>
      </c>
    </row>
    <row r="104" spans="1:21" x14ac:dyDescent="0.25">
      <c r="A104" s="12" t="s">
        <v>25</v>
      </c>
      <c r="B104" s="1">
        <v>-2</v>
      </c>
      <c r="C104" s="1">
        <v>7</v>
      </c>
      <c r="D104" s="1">
        <v>0</v>
      </c>
      <c r="E104" s="1">
        <v>-1</v>
      </c>
      <c r="F104" s="1">
        <v>0</v>
      </c>
      <c r="G104" s="1">
        <v>13</v>
      </c>
      <c r="H104" s="1">
        <v>9</v>
      </c>
      <c r="I104" s="1">
        <v>11</v>
      </c>
      <c r="J104" s="1">
        <v>11</v>
      </c>
      <c r="K104" s="1">
        <v>5</v>
      </c>
      <c r="L104" s="1">
        <v>6</v>
      </c>
      <c r="M104" s="1">
        <v>14</v>
      </c>
      <c r="N104" s="2">
        <v>18</v>
      </c>
      <c r="O104" s="2">
        <v>15</v>
      </c>
      <c r="P104" s="2">
        <v>9</v>
      </c>
      <c r="Q104" s="2">
        <v>7</v>
      </c>
      <c r="R104" s="2">
        <v>5</v>
      </c>
      <c r="S104" s="2">
        <f>VLOOKUP(A104,'January 2022'!$B$88:$C$105,2,FALSE)</f>
        <v>13</v>
      </c>
      <c r="T104" s="2">
        <f>VLOOKUP(A104,'February 2022'!$B$91:$C$108,2,FALSE)</f>
        <v>1</v>
      </c>
      <c r="U104" s="2">
        <f>VLOOKUP(A104,'March 2022'!$B$93:$C$110,2,FALSE)</f>
        <v>5</v>
      </c>
    </row>
    <row r="105" spans="1:21" x14ac:dyDescent="0.25">
      <c r="A105" s="12" t="s">
        <v>43</v>
      </c>
      <c r="B105" s="1">
        <v>10</v>
      </c>
      <c r="C105" s="1">
        <v>10</v>
      </c>
      <c r="D105" s="1">
        <v>12</v>
      </c>
      <c r="E105" s="1">
        <v>10</v>
      </c>
      <c r="F105" s="1">
        <v>8</v>
      </c>
      <c r="G105" s="1">
        <v>8</v>
      </c>
      <c r="H105" s="1">
        <v>7</v>
      </c>
      <c r="I105" s="1">
        <v>5</v>
      </c>
      <c r="J105" s="1">
        <v>1</v>
      </c>
      <c r="K105" s="1">
        <v>1</v>
      </c>
      <c r="L105" s="1">
        <v>1</v>
      </c>
      <c r="M105" s="1">
        <v>2</v>
      </c>
      <c r="N105" s="2">
        <v>4</v>
      </c>
      <c r="O105" s="2">
        <v>1</v>
      </c>
      <c r="P105" s="2">
        <v>1</v>
      </c>
      <c r="Q105" s="2">
        <v>6</v>
      </c>
      <c r="R105" s="2">
        <v>3</v>
      </c>
      <c r="S105" s="2">
        <f>VLOOKUP(A105,'January 2022'!$B$88:$C$105,2,FALSE)</f>
        <v>5</v>
      </c>
      <c r="T105" s="2">
        <f>VLOOKUP(A105,'February 2022'!$B$91:$C$108,2,FALSE)</f>
        <v>3</v>
      </c>
      <c r="U105" s="2">
        <f>VLOOKUP(A105,'March 2022'!$B$93:$C$110,2,FALSE)</f>
        <v>2</v>
      </c>
    </row>
    <row r="106" spans="1:21" x14ac:dyDescent="0.25">
      <c r="A106" s="12" t="s">
        <v>38</v>
      </c>
      <c r="B106" s="1">
        <v>6</v>
      </c>
      <c r="C106" s="1">
        <v>2</v>
      </c>
      <c r="D106" s="1">
        <v>13</v>
      </c>
      <c r="E106" s="1">
        <v>13</v>
      </c>
      <c r="F106" s="1">
        <v>11</v>
      </c>
      <c r="G106" s="1">
        <v>9</v>
      </c>
      <c r="H106" s="1">
        <v>10</v>
      </c>
      <c r="I106" s="1">
        <v>10</v>
      </c>
      <c r="J106" s="1">
        <v>18</v>
      </c>
      <c r="K106" s="1">
        <v>14</v>
      </c>
      <c r="L106" s="1">
        <v>11</v>
      </c>
      <c r="M106" s="1">
        <v>10</v>
      </c>
      <c r="N106" s="2">
        <v>5</v>
      </c>
      <c r="O106" s="2">
        <v>17</v>
      </c>
      <c r="P106" s="2">
        <v>11</v>
      </c>
      <c r="Q106" s="2">
        <v>17</v>
      </c>
      <c r="R106" s="2">
        <v>8</v>
      </c>
      <c r="S106" s="2">
        <f>VLOOKUP(A106,'January 2022'!$B$88:$C$105,2,FALSE)</f>
        <v>12</v>
      </c>
      <c r="T106" s="2">
        <f>VLOOKUP(A106,'February 2022'!$B$91:$C$108,2,FALSE)</f>
        <v>9</v>
      </c>
      <c r="U106" s="2">
        <f>VLOOKUP(A106,'March 2022'!$B$93:$C$110,2,FALSE)</f>
        <v>15</v>
      </c>
    </row>
    <row r="107" spans="1:21" x14ac:dyDescent="0.25">
      <c r="A107" s="12" t="s">
        <v>23</v>
      </c>
      <c r="B107" s="1">
        <v>3</v>
      </c>
      <c r="C107" s="1">
        <v>5</v>
      </c>
      <c r="D107" s="1">
        <v>3</v>
      </c>
      <c r="E107" s="1">
        <v>9</v>
      </c>
      <c r="F107" s="1">
        <v>7</v>
      </c>
      <c r="G107" s="1">
        <v>2</v>
      </c>
      <c r="H107" s="1">
        <v>6</v>
      </c>
      <c r="I107" s="1">
        <v>9</v>
      </c>
      <c r="J107" s="1">
        <v>3</v>
      </c>
      <c r="K107" s="1">
        <v>8</v>
      </c>
      <c r="L107" s="1">
        <v>8</v>
      </c>
      <c r="M107" s="1">
        <v>9</v>
      </c>
      <c r="N107" s="2">
        <v>1</v>
      </c>
      <c r="O107" s="2">
        <v>4</v>
      </c>
      <c r="P107" s="2">
        <v>3</v>
      </c>
      <c r="Q107" s="2">
        <v>4</v>
      </c>
      <c r="R107" s="2">
        <v>4</v>
      </c>
      <c r="S107" s="2">
        <f>VLOOKUP(A107,'January 2022'!$B$88:$C$105,2,FALSE)</f>
        <v>6</v>
      </c>
      <c r="T107" s="2">
        <f>VLOOKUP(A107,'February 2022'!$B$91:$C$108,2,FALSE)</f>
        <v>7</v>
      </c>
      <c r="U107" s="2">
        <f>VLOOKUP(A107,'March 2022'!$B$93:$C$110,2,FALSE)</f>
        <v>1</v>
      </c>
    </row>
    <row r="108" spans="1:21" x14ac:dyDescent="0.25">
      <c r="A108" s="12" t="s">
        <v>40</v>
      </c>
      <c r="B108" s="1">
        <v>4</v>
      </c>
      <c r="C108" s="1">
        <v>0</v>
      </c>
      <c r="D108" s="1">
        <v>8</v>
      </c>
      <c r="E108" s="1">
        <v>8</v>
      </c>
      <c r="F108" s="1">
        <v>2</v>
      </c>
      <c r="G108" s="1">
        <v>5</v>
      </c>
      <c r="H108" s="1">
        <v>5</v>
      </c>
      <c r="I108" s="1">
        <v>16</v>
      </c>
      <c r="J108" s="1">
        <v>13</v>
      </c>
      <c r="K108" s="1">
        <v>12</v>
      </c>
      <c r="L108" s="1">
        <v>12</v>
      </c>
      <c r="M108" s="1">
        <v>12</v>
      </c>
      <c r="N108" s="2">
        <v>15</v>
      </c>
      <c r="O108" s="2">
        <v>9</v>
      </c>
      <c r="P108" s="2">
        <v>14</v>
      </c>
      <c r="Q108" s="2">
        <v>15</v>
      </c>
      <c r="R108" s="2">
        <v>13</v>
      </c>
      <c r="S108" s="2">
        <f>VLOOKUP(A108,'January 2022'!$B$88:$C$105,2,FALSE)</f>
        <v>10</v>
      </c>
      <c r="T108" s="2">
        <f>VLOOKUP(A108,'February 2022'!$B$91:$C$108,2,FALSE)</f>
        <v>14</v>
      </c>
      <c r="U108" s="2">
        <f>VLOOKUP(A108,'March 2022'!$B$93:$C$110,2,FALSE)</f>
        <v>14</v>
      </c>
    </row>
    <row r="109" spans="1:21" x14ac:dyDescent="0.25">
      <c r="A109" s="12" t="s">
        <v>35</v>
      </c>
      <c r="B109" s="1">
        <v>11</v>
      </c>
      <c r="C109" s="1">
        <v>4</v>
      </c>
      <c r="D109" s="1">
        <v>9</v>
      </c>
      <c r="E109" s="1">
        <v>15</v>
      </c>
      <c r="F109" s="1">
        <v>9</v>
      </c>
      <c r="G109" s="1">
        <v>14</v>
      </c>
      <c r="H109" s="1">
        <v>12</v>
      </c>
      <c r="I109" s="1">
        <v>6</v>
      </c>
      <c r="J109" s="1">
        <v>14</v>
      </c>
      <c r="K109" s="1">
        <v>15</v>
      </c>
      <c r="L109" s="1">
        <v>-1</v>
      </c>
      <c r="M109" s="1">
        <v>0</v>
      </c>
      <c r="N109" s="2">
        <v>9</v>
      </c>
      <c r="O109" s="2">
        <v>3</v>
      </c>
      <c r="P109" s="2">
        <v>5</v>
      </c>
      <c r="Q109" s="2">
        <v>2</v>
      </c>
      <c r="R109" s="2">
        <v>1</v>
      </c>
      <c r="S109" s="2">
        <f>VLOOKUP(A109,'January 2022'!$B$88:$C$105,2,FALSE)</f>
        <v>18</v>
      </c>
      <c r="T109" s="2">
        <f>VLOOKUP(A109,'February 2022'!$B$91:$C$108,2,FALSE)</f>
        <v>12</v>
      </c>
      <c r="U109" s="2">
        <f>VLOOKUP(A109,'March 2022'!$B$93:$C$110,2,FALSE)</f>
        <v>13</v>
      </c>
    </row>
    <row r="110" spans="1:21" x14ac:dyDescent="0.25">
      <c r="A110" s="12" t="s">
        <v>28</v>
      </c>
      <c r="B110" s="1">
        <v>-3</v>
      </c>
      <c r="C110" s="1">
        <v>-1</v>
      </c>
      <c r="D110" s="1">
        <v>-2</v>
      </c>
      <c r="E110" s="1">
        <v>3</v>
      </c>
      <c r="F110" s="1">
        <v>1</v>
      </c>
      <c r="G110" s="1">
        <v>0</v>
      </c>
      <c r="H110" s="1">
        <v>-1</v>
      </c>
      <c r="I110" s="1">
        <v>1</v>
      </c>
      <c r="J110" s="1">
        <v>5</v>
      </c>
      <c r="K110" s="1">
        <v>2</v>
      </c>
      <c r="L110" s="1">
        <v>5</v>
      </c>
      <c r="M110" s="1">
        <v>3</v>
      </c>
      <c r="N110" s="2">
        <v>11</v>
      </c>
      <c r="O110" s="2">
        <v>7</v>
      </c>
      <c r="P110" s="2">
        <v>8</v>
      </c>
      <c r="Q110" s="2">
        <v>5</v>
      </c>
      <c r="R110" s="2">
        <v>9</v>
      </c>
      <c r="S110" s="2">
        <f>VLOOKUP(A110,'January 2022'!$B$88:$C$105,2,FALSE)</f>
        <v>4</v>
      </c>
      <c r="T110" s="2">
        <f>VLOOKUP(A110,'February 2022'!$B$91:$C$108,2,FALSE)</f>
        <v>8</v>
      </c>
      <c r="U110" s="2">
        <f>VLOOKUP(A110,'March 2022'!$B$93:$C$110,2,FALSE)</f>
        <v>11</v>
      </c>
    </row>
    <row r="111" spans="1:21" x14ac:dyDescent="0.25">
      <c r="A111" s="12" t="s">
        <v>15</v>
      </c>
      <c r="B111" s="1">
        <v>8</v>
      </c>
      <c r="C111" s="1">
        <v>3</v>
      </c>
      <c r="D111" s="1">
        <v>5</v>
      </c>
      <c r="E111" s="1">
        <v>2</v>
      </c>
      <c r="F111" s="1">
        <v>1</v>
      </c>
      <c r="G111" s="1">
        <v>7</v>
      </c>
      <c r="H111" s="1">
        <v>3</v>
      </c>
      <c r="I111" s="1">
        <v>3</v>
      </c>
      <c r="J111" s="1">
        <v>6</v>
      </c>
      <c r="K111" s="1">
        <v>4</v>
      </c>
      <c r="L111" s="1">
        <v>2</v>
      </c>
      <c r="M111" s="1">
        <v>1</v>
      </c>
      <c r="N111" s="2">
        <v>6</v>
      </c>
      <c r="O111" s="2">
        <v>2</v>
      </c>
      <c r="P111" s="2">
        <v>4</v>
      </c>
      <c r="Q111" s="2">
        <v>3</v>
      </c>
      <c r="R111" s="2">
        <v>2</v>
      </c>
      <c r="S111" s="2">
        <f>VLOOKUP(A111,'January 2022'!$B$88:$C$105,2,FALSE)</f>
        <v>8</v>
      </c>
      <c r="T111" s="2">
        <f>VLOOKUP(A111,'February 2022'!$B$91:$C$108,2,FALSE)</f>
        <v>4</v>
      </c>
      <c r="U111" s="2">
        <f>VLOOKUP(A111,'March 2022'!$B$93:$C$110,2,FALSE)</f>
        <v>4</v>
      </c>
    </row>
    <row r="112" spans="1:21" x14ac:dyDescent="0.25">
      <c r="A112" s="12" t="s">
        <v>16</v>
      </c>
      <c r="B112" s="1">
        <v>5</v>
      </c>
      <c r="C112" s="1">
        <v>0</v>
      </c>
      <c r="D112" s="1">
        <v>2</v>
      </c>
      <c r="E112" s="1">
        <v>6</v>
      </c>
      <c r="F112" s="1">
        <v>4</v>
      </c>
      <c r="G112" s="1">
        <v>11</v>
      </c>
      <c r="H112" s="1">
        <v>11</v>
      </c>
      <c r="I112" s="1">
        <v>15</v>
      </c>
      <c r="J112" s="1">
        <v>10</v>
      </c>
      <c r="K112" s="1">
        <v>7</v>
      </c>
      <c r="L112" s="1">
        <v>10</v>
      </c>
      <c r="M112" s="1">
        <v>15</v>
      </c>
      <c r="N112" s="2">
        <v>13</v>
      </c>
      <c r="O112" s="2">
        <v>5</v>
      </c>
      <c r="P112" s="2">
        <v>2</v>
      </c>
      <c r="Q112" s="2">
        <v>18</v>
      </c>
      <c r="R112" s="2">
        <v>17</v>
      </c>
      <c r="S112" s="2">
        <f>VLOOKUP(A112,'January 2022'!$B$88:$C$105,2,FALSE)</f>
        <v>9</v>
      </c>
      <c r="T112" s="2">
        <f>VLOOKUP(A112,'February 2022'!$B$91:$C$108,2,FALSE)</f>
        <v>10</v>
      </c>
      <c r="U112" s="2">
        <f>VLOOKUP(A112,'March 2022'!$B$93:$C$110,2,FALSE)</f>
        <v>16</v>
      </c>
    </row>
    <row r="113" spans="1:21" x14ac:dyDescent="0.25">
      <c r="A113" s="12" t="s">
        <v>34</v>
      </c>
      <c r="B113" s="1">
        <v>1</v>
      </c>
      <c r="C113" s="1">
        <v>0</v>
      </c>
      <c r="D113" s="1">
        <v>6</v>
      </c>
      <c r="E113" s="1">
        <v>4</v>
      </c>
      <c r="F113" s="1">
        <v>3</v>
      </c>
      <c r="G113" s="1">
        <v>6</v>
      </c>
      <c r="H113" s="1">
        <v>8</v>
      </c>
      <c r="I113" s="1">
        <v>12</v>
      </c>
      <c r="J113" s="1">
        <v>7</v>
      </c>
      <c r="K113" s="1">
        <v>10</v>
      </c>
      <c r="L113" s="1">
        <v>3</v>
      </c>
      <c r="M113" s="1">
        <v>5</v>
      </c>
      <c r="N113" s="2">
        <v>12</v>
      </c>
      <c r="O113" s="2">
        <v>11</v>
      </c>
      <c r="P113" s="2">
        <v>12</v>
      </c>
      <c r="Q113" s="2">
        <v>12</v>
      </c>
      <c r="R113" s="2">
        <v>7</v>
      </c>
      <c r="S113" s="2">
        <f>VLOOKUP(A113,'January 2022'!$B$88:$C$105,2,FALSE)</f>
        <v>7</v>
      </c>
      <c r="T113" s="2">
        <f>VLOOKUP(A113,'February 2022'!$B$91:$C$108,2,FALSE)</f>
        <v>13</v>
      </c>
      <c r="U113" s="2">
        <f>VLOOKUP(A113,'March 2022'!$B$93:$C$110,2,FALSE)</f>
        <v>7</v>
      </c>
    </row>
    <row r="114" spans="1:21" x14ac:dyDescent="0.25">
      <c r="A114" s="12" t="s">
        <v>20</v>
      </c>
      <c r="B114" s="1">
        <v>2</v>
      </c>
      <c r="C114" s="1">
        <v>9</v>
      </c>
      <c r="D114" s="1">
        <v>4</v>
      </c>
      <c r="E114" s="1">
        <v>5</v>
      </c>
      <c r="F114" s="1">
        <v>0</v>
      </c>
      <c r="G114" s="1">
        <v>15</v>
      </c>
      <c r="H114" s="1">
        <v>15</v>
      </c>
      <c r="I114" s="1">
        <v>18</v>
      </c>
      <c r="J114" s="1">
        <v>17</v>
      </c>
      <c r="K114" s="1">
        <v>16</v>
      </c>
      <c r="L114" s="1">
        <v>15</v>
      </c>
      <c r="M114" s="1">
        <v>11</v>
      </c>
      <c r="N114" s="2">
        <v>14</v>
      </c>
      <c r="O114" s="2">
        <v>10</v>
      </c>
      <c r="P114" s="2">
        <v>7</v>
      </c>
      <c r="Q114" s="2">
        <v>13</v>
      </c>
      <c r="R114" s="2">
        <v>11</v>
      </c>
      <c r="S114" s="2">
        <f>VLOOKUP(A114,'January 2022'!$B$88:$C$105,2,FALSE)</f>
        <v>16</v>
      </c>
      <c r="T114" s="2">
        <f>VLOOKUP(A114,'February 2022'!$B$91:$C$108,2,FALSE)</f>
        <v>18</v>
      </c>
      <c r="U114" s="2">
        <f>VLOOKUP(A114,'March 2022'!$B$93:$C$110,2,FALSE)</f>
        <v>18</v>
      </c>
    </row>
    <row r="115" spans="1:21" x14ac:dyDescent="0.25">
      <c r="A115" s="12" t="s">
        <v>27</v>
      </c>
      <c r="B115" s="1">
        <v>9</v>
      </c>
      <c r="C115" s="1">
        <v>1</v>
      </c>
      <c r="D115" s="1">
        <v>1</v>
      </c>
      <c r="E115" s="1">
        <v>1</v>
      </c>
      <c r="F115" s="1">
        <v>0</v>
      </c>
      <c r="G115" s="1">
        <v>1</v>
      </c>
      <c r="H115" s="1">
        <v>2</v>
      </c>
      <c r="I115" s="1">
        <v>2</v>
      </c>
      <c r="J115" s="1">
        <v>2</v>
      </c>
      <c r="K115" s="1">
        <v>3</v>
      </c>
      <c r="L115" s="1">
        <v>9</v>
      </c>
      <c r="M115" s="1">
        <v>4</v>
      </c>
      <c r="N115" s="2">
        <v>10</v>
      </c>
      <c r="O115" s="2">
        <v>6</v>
      </c>
      <c r="P115" s="2">
        <v>10</v>
      </c>
      <c r="Q115" s="2">
        <v>8</v>
      </c>
      <c r="R115" s="2">
        <v>10</v>
      </c>
      <c r="S115" s="2">
        <f>VLOOKUP(A115,'January 2022'!$B$88:$C$105,2,FALSE)</f>
        <v>2</v>
      </c>
      <c r="T115" s="2">
        <f>VLOOKUP(A115,'February 2022'!$B$91:$C$108,2,FALSE)</f>
        <v>15</v>
      </c>
      <c r="U115" s="2">
        <f>VLOOKUP(A115,'March 2022'!$B$93:$C$110,2,FALSE)</f>
        <v>8</v>
      </c>
    </row>
    <row r="116" spans="1:21" x14ac:dyDescent="0.25">
      <c r="A116" s="12" t="s">
        <v>1</v>
      </c>
      <c r="B116" s="1">
        <v>0</v>
      </c>
      <c r="C116" s="1">
        <v>0</v>
      </c>
      <c r="D116" s="1">
        <v>0</v>
      </c>
      <c r="E116" s="1">
        <v>0</v>
      </c>
      <c r="F116" s="1">
        <v>0</v>
      </c>
      <c r="G116" s="1">
        <v>10</v>
      </c>
      <c r="H116" s="1">
        <v>0</v>
      </c>
      <c r="I116" s="1">
        <v>4</v>
      </c>
      <c r="J116" s="1">
        <v>9</v>
      </c>
      <c r="K116" s="1">
        <v>9</v>
      </c>
      <c r="L116" s="1">
        <v>17</v>
      </c>
      <c r="M116" s="1">
        <v>17</v>
      </c>
      <c r="N116" s="2">
        <v>3</v>
      </c>
      <c r="O116" s="2">
        <v>12</v>
      </c>
      <c r="P116" s="2">
        <v>18</v>
      </c>
      <c r="Q116" s="2">
        <v>11</v>
      </c>
      <c r="R116" s="2">
        <v>12</v>
      </c>
      <c r="S116" s="2">
        <f>VLOOKUP(A116,'January 2022'!$B$88:$C$105,2,FALSE)</f>
        <v>17</v>
      </c>
      <c r="T116" s="2">
        <f>VLOOKUP(A116,'February 2022'!$B$91:$C$108,2,FALSE)</f>
        <v>11</v>
      </c>
      <c r="U116" s="2">
        <f>VLOOKUP(A116,'March 2022'!$B$93:$C$110,2,FALSE)</f>
        <v>9</v>
      </c>
    </row>
    <row r="117" spans="1:21" x14ac:dyDescent="0.25">
      <c r="A117" s="12" t="s">
        <v>31</v>
      </c>
      <c r="B117" s="1">
        <v>14</v>
      </c>
      <c r="C117" s="1">
        <v>-3</v>
      </c>
      <c r="D117" s="1">
        <v>-1</v>
      </c>
      <c r="E117" s="1">
        <v>7</v>
      </c>
      <c r="F117" s="1">
        <v>12</v>
      </c>
      <c r="G117" s="1">
        <v>12</v>
      </c>
      <c r="H117" s="1">
        <v>16</v>
      </c>
      <c r="I117" s="1">
        <v>7</v>
      </c>
      <c r="J117" s="1">
        <v>8</v>
      </c>
      <c r="K117" s="1">
        <v>13</v>
      </c>
      <c r="L117" s="1">
        <v>14</v>
      </c>
      <c r="M117" s="1">
        <v>0</v>
      </c>
      <c r="N117" s="2">
        <v>7</v>
      </c>
      <c r="O117" s="2">
        <v>8</v>
      </c>
      <c r="P117" s="2">
        <v>6</v>
      </c>
      <c r="Q117" s="2">
        <v>16</v>
      </c>
      <c r="R117" s="2">
        <v>18</v>
      </c>
      <c r="S117" s="2">
        <f>VLOOKUP(A117,'January 2022'!$B$88:$C$105,2,FALSE)</f>
        <v>14</v>
      </c>
      <c r="T117" s="2">
        <f>VLOOKUP(A117,'February 2022'!$B$91:$C$108,2,FALSE)</f>
        <v>2</v>
      </c>
      <c r="U117" s="2">
        <f>VLOOKUP(A117,'March 2022'!$B$93:$C$110,2,FALSE)</f>
        <v>3</v>
      </c>
    </row>
    <row r="118" spans="1:21" x14ac:dyDescent="0.25">
      <c r="A118" s="12" t="s">
        <v>18</v>
      </c>
      <c r="B118" s="1">
        <v>-1</v>
      </c>
      <c r="C118" s="1">
        <v>-2</v>
      </c>
      <c r="D118" s="1">
        <v>0</v>
      </c>
      <c r="E118" s="1">
        <v>0</v>
      </c>
      <c r="F118" s="1">
        <v>2</v>
      </c>
      <c r="G118" s="1">
        <v>3</v>
      </c>
      <c r="H118" s="1">
        <v>4</v>
      </c>
      <c r="I118" s="1">
        <v>8</v>
      </c>
      <c r="J118" s="1">
        <v>4</v>
      </c>
      <c r="K118" s="1">
        <v>6</v>
      </c>
      <c r="L118" s="1">
        <v>4</v>
      </c>
      <c r="M118" s="1">
        <v>8</v>
      </c>
      <c r="N118" s="2">
        <v>8</v>
      </c>
      <c r="O118" s="2">
        <v>13</v>
      </c>
      <c r="P118" s="2">
        <v>13</v>
      </c>
      <c r="Q118" s="2">
        <v>1</v>
      </c>
      <c r="R118" s="2">
        <v>15</v>
      </c>
      <c r="S118" s="2">
        <f>VLOOKUP(A118,'January 2022'!$B$88:$C$105,2,FALSE)</f>
        <v>1</v>
      </c>
      <c r="T118" s="2">
        <f>VLOOKUP(A118,'February 2022'!$B$91:$C$108,2,FALSE)</f>
        <v>5</v>
      </c>
      <c r="U118" s="2">
        <f>VLOOKUP(A118,'March 2022'!$B$93:$C$110,2,FALSE)</f>
        <v>6</v>
      </c>
    </row>
    <row r="119" spans="1:21" x14ac:dyDescent="0.25">
      <c r="A119" s="12" t="s">
        <v>29</v>
      </c>
      <c r="B119" s="1">
        <v>13</v>
      </c>
      <c r="C119" s="1">
        <v>8</v>
      </c>
      <c r="D119" s="1">
        <v>10</v>
      </c>
      <c r="E119" s="1">
        <v>14</v>
      </c>
      <c r="F119" s="1">
        <v>5</v>
      </c>
      <c r="G119" s="1">
        <v>0</v>
      </c>
      <c r="H119" s="1">
        <v>13</v>
      </c>
      <c r="I119" s="1">
        <v>14</v>
      </c>
      <c r="J119" s="1">
        <v>15</v>
      </c>
      <c r="K119" s="1">
        <v>18</v>
      </c>
      <c r="L119" s="1">
        <v>16</v>
      </c>
      <c r="M119" s="1">
        <v>16</v>
      </c>
      <c r="N119" s="2">
        <v>2</v>
      </c>
      <c r="O119" s="2">
        <v>16</v>
      </c>
      <c r="P119" s="2">
        <v>17</v>
      </c>
      <c r="Q119" s="2">
        <v>10</v>
      </c>
      <c r="R119" s="2">
        <v>6</v>
      </c>
      <c r="S119" s="2">
        <f>VLOOKUP(A119,'January 2022'!$B$88:$C$105,2,FALSE)</f>
        <v>3</v>
      </c>
      <c r="T119" s="2">
        <f>VLOOKUP(A119,'February 2022'!$B$91:$C$108,2,FALSE)</f>
        <v>6</v>
      </c>
      <c r="U119" s="2">
        <f>VLOOKUP(A119,'March 2022'!$B$93:$C$110,2,FALSE)</f>
        <v>12</v>
      </c>
    </row>
    <row r="120" spans="1:21" s="29" customFormat="1" x14ac:dyDescent="0.25">
      <c r="A120" s="37"/>
      <c r="B120" s="36"/>
      <c r="C120" s="36"/>
      <c r="D120" s="36"/>
      <c r="E120" s="36"/>
      <c r="F120" s="36"/>
      <c r="G120" s="36"/>
      <c r="H120" s="36"/>
      <c r="I120" s="36"/>
      <c r="J120" s="36"/>
      <c r="K120" s="36"/>
      <c r="L120" s="36"/>
      <c r="M120" s="36"/>
      <c r="N120" s="4"/>
      <c r="O120" s="4"/>
      <c r="P120" s="4"/>
      <c r="Q120" s="4"/>
      <c r="R120" s="4"/>
      <c r="S120" s="4"/>
      <c r="T120" s="4"/>
      <c r="U120" s="4"/>
    </row>
    <row r="121" spans="1:21" s="29" customFormat="1" ht="18.75" x14ac:dyDescent="0.3">
      <c r="A121" s="13" t="s">
        <v>3818</v>
      </c>
      <c r="B121" s="9" t="s">
        <v>54</v>
      </c>
      <c r="C121" s="9" t="s">
        <v>55</v>
      </c>
      <c r="D121" s="9" t="s">
        <v>56</v>
      </c>
      <c r="E121" s="9" t="s">
        <v>57</v>
      </c>
      <c r="F121" s="9" t="s">
        <v>58</v>
      </c>
      <c r="G121" s="10">
        <v>44197</v>
      </c>
      <c r="H121" s="11">
        <v>44248</v>
      </c>
      <c r="I121" s="11">
        <v>44276</v>
      </c>
      <c r="J121" s="11">
        <v>44307</v>
      </c>
      <c r="K121" s="11">
        <v>44337</v>
      </c>
      <c r="L121" s="11">
        <v>44368</v>
      </c>
      <c r="M121" s="11">
        <v>44398</v>
      </c>
      <c r="N121" s="11">
        <v>44429</v>
      </c>
      <c r="O121" s="11">
        <v>44460</v>
      </c>
      <c r="P121" s="11">
        <v>44490</v>
      </c>
      <c r="Q121" s="11">
        <v>44521</v>
      </c>
      <c r="R121" s="30">
        <v>44916</v>
      </c>
      <c r="S121" s="11" t="s">
        <v>3811</v>
      </c>
      <c r="T121" s="30" t="s">
        <v>3812</v>
      </c>
      <c r="U121" s="11" t="s">
        <v>3813</v>
      </c>
    </row>
    <row r="122" spans="1:21" s="29" customFormat="1" x14ac:dyDescent="0.25">
      <c r="A122" s="12" t="s">
        <v>41</v>
      </c>
      <c r="B122" s="1">
        <v>11</v>
      </c>
      <c r="C122" s="1">
        <v>12</v>
      </c>
      <c r="D122" s="1">
        <v>9</v>
      </c>
      <c r="E122" s="1">
        <v>13</v>
      </c>
      <c r="F122" s="1">
        <v>11</v>
      </c>
      <c r="G122" s="1">
        <v>0</v>
      </c>
      <c r="H122" s="1">
        <v>7</v>
      </c>
      <c r="I122" s="1">
        <v>15</v>
      </c>
      <c r="J122" s="1">
        <v>15</v>
      </c>
      <c r="K122" s="1">
        <v>7</v>
      </c>
      <c r="L122" s="1">
        <v>14</v>
      </c>
      <c r="M122" s="1">
        <v>16</v>
      </c>
      <c r="N122" s="2">
        <v>0</v>
      </c>
      <c r="O122" s="2">
        <v>12</v>
      </c>
      <c r="P122" s="2">
        <v>6</v>
      </c>
      <c r="Q122" s="2">
        <v>16</v>
      </c>
      <c r="R122" s="2">
        <v>10</v>
      </c>
      <c r="S122" s="2">
        <v>1</v>
      </c>
      <c r="T122" s="2">
        <v>13</v>
      </c>
      <c r="U122" s="2">
        <v>2</v>
      </c>
    </row>
    <row r="123" spans="1:21" s="29" customFormat="1" x14ac:dyDescent="0.25">
      <c r="A123" s="12" t="s">
        <v>36</v>
      </c>
      <c r="B123" s="1">
        <v>8</v>
      </c>
      <c r="C123" s="1">
        <v>10</v>
      </c>
      <c r="D123" s="1">
        <v>3</v>
      </c>
      <c r="E123" s="1">
        <v>4</v>
      </c>
      <c r="F123" s="1">
        <v>4</v>
      </c>
      <c r="G123" s="1">
        <v>7</v>
      </c>
      <c r="H123" s="1">
        <v>12</v>
      </c>
      <c r="I123" s="1">
        <v>13</v>
      </c>
      <c r="J123" s="1">
        <v>16</v>
      </c>
      <c r="K123" s="1">
        <v>16</v>
      </c>
      <c r="L123" s="1">
        <v>12</v>
      </c>
      <c r="M123" s="1">
        <v>15</v>
      </c>
      <c r="N123" s="2">
        <v>2</v>
      </c>
      <c r="O123" s="2">
        <v>7</v>
      </c>
      <c r="P123" s="2">
        <v>8</v>
      </c>
      <c r="Q123" s="2">
        <v>12</v>
      </c>
      <c r="R123" s="2">
        <v>12</v>
      </c>
      <c r="S123" s="2">
        <v>0</v>
      </c>
      <c r="T123" s="2">
        <v>9</v>
      </c>
      <c r="U123" s="2">
        <v>11</v>
      </c>
    </row>
    <row r="124" spans="1:21" s="29" customFormat="1" x14ac:dyDescent="0.25">
      <c r="A124" s="12" t="s">
        <v>25</v>
      </c>
      <c r="B124" s="1">
        <v>1</v>
      </c>
      <c r="C124" s="1">
        <v>0</v>
      </c>
      <c r="D124" s="1">
        <v>1</v>
      </c>
      <c r="E124" s="1">
        <v>7</v>
      </c>
      <c r="F124" s="1">
        <v>7</v>
      </c>
      <c r="G124" s="1">
        <v>-2</v>
      </c>
      <c r="H124" s="1">
        <v>0</v>
      </c>
      <c r="I124" s="1">
        <v>3</v>
      </c>
      <c r="J124" s="1">
        <v>11</v>
      </c>
      <c r="K124" s="1">
        <v>18</v>
      </c>
      <c r="L124" s="1">
        <v>9</v>
      </c>
      <c r="M124" s="1">
        <v>14</v>
      </c>
      <c r="N124" s="2">
        <v>11</v>
      </c>
      <c r="O124" s="2">
        <v>17</v>
      </c>
      <c r="P124" s="2">
        <v>16</v>
      </c>
      <c r="Q124" s="2">
        <v>15</v>
      </c>
      <c r="R124" s="2">
        <v>13</v>
      </c>
      <c r="S124" s="2">
        <v>8</v>
      </c>
      <c r="T124" s="2">
        <v>2</v>
      </c>
      <c r="U124" s="2">
        <v>0</v>
      </c>
    </row>
    <row r="125" spans="1:21" s="29" customFormat="1" x14ac:dyDescent="0.25">
      <c r="A125" s="12" t="s">
        <v>43</v>
      </c>
      <c r="B125" s="1">
        <v>9</v>
      </c>
      <c r="C125" s="1">
        <v>9</v>
      </c>
      <c r="D125" s="1">
        <v>11</v>
      </c>
      <c r="E125" s="1">
        <v>12</v>
      </c>
      <c r="F125" s="1">
        <v>10</v>
      </c>
      <c r="G125" s="1">
        <v>5</v>
      </c>
      <c r="H125" s="1">
        <v>3</v>
      </c>
      <c r="I125" s="1">
        <v>6</v>
      </c>
      <c r="J125" s="1">
        <v>6</v>
      </c>
      <c r="K125" s="1">
        <v>8</v>
      </c>
      <c r="L125" s="1">
        <v>6</v>
      </c>
      <c r="M125" s="1">
        <v>10</v>
      </c>
      <c r="N125" s="2">
        <v>10</v>
      </c>
      <c r="O125" s="2">
        <v>13</v>
      </c>
      <c r="P125" s="2">
        <v>11</v>
      </c>
      <c r="Q125" s="2">
        <v>11</v>
      </c>
      <c r="R125" s="2">
        <v>11</v>
      </c>
      <c r="S125" s="2">
        <v>7</v>
      </c>
      <c r="T125" s="2">
        <v>1</v>
      </c>
      <c r="U125" s="2">
        <v>-1</v>
      </c>
    </row>
    <row r="126" spans="1:21" s="29" customFormat="1" x14ac:dyDescent="0.25">
      <c r="A126" s="12" t="s">
        <v>38</v>
      </c>
      <c r="B126" s="1">
        <v>5</v>
      </c>
      <c r="C126" s="1">
        <v>11</v>
      </c>
      <c r="D126" s="1">
        <v>16</v>
      </c>
      <c r="E126" s="1">
        <v>14</v>
      </c>
      <c r="F126" s="1">
        <v>9</v>
      </c>
      <c r="G126" s="1">
        <v>0</v>
      </c>
      <c r="H126" s="1">
        <v>11</v>
      </c>
      <c r="I126" s="1">
        <v>7</v>
      </c>
      <c r="J126" s="1">
        <v>5</v>
      </c>
      <c r="K126" s="1">
        <v>10</v>
      </c>
      <c r="L126" s="1">
        <v>11</v>
      </c>
      <c r="M126" s="1">
        <v>9</v>
      </c>
      <c r="N126" s="2">
        <v>4</v>
      </c>
      <c r="O126" s="2">
        <v>1</v>
      </c>
      <c r="P126" s="2">
        <v>14</v>
      </c>
      <c r="Q126" s="2">
        <v>13</v>
      </c>
      <c r="R126" s="2">
        <v>14</v>
      </c>
      <c r="S126" s="2">
        <v>-3</v>
      </c>
      <c r="T126" s="2">
        <v>11</v>
      </c>
      <c r="U126" s="2">
        <v>4</v>
      </c>
    </row>
    <row r="127" spans="1:21" s="29" customFormat="1" x14ac:dyDescent="0.25">
      <c r="A127" s="12" t="s">
        <v>23</v>
      </c>
      <c r="B127" s="1">
        <v>4</v>
      </c>
      <c r="C127" s="1">
        <v>7</v>
      </c>
      <c r="D127" s="1">
        <v>8</v>
      </c>
      <c r="E127" s="1">
        <v>9</v>
      </c>
      <c r="F127" s="1">
        <v>3</v>
      </c>
      <c r="G127" s="1">
        <v>9</v>
      </c>
      <c r="H127" s="1">
        <v>4</v>
      </c>
      <c r="I127" s="1">
        <v>9</v>
      </c>
      <c r="J127" s="1">
        <v>7</v>
      </c>
      <c r="K127" s="1">
        <v>15</v>
      </c>
      <c r="L127" s="1">
        <v>5</v>
      </c>
      <c r="M127" s="1">
        <v>3</v>
      </c>
      <c r="N127" s="2">
        <v>5</v>
      </c>
      <c r="O127" s="2">
        <v>8</v>
      </c>
      <c r="P127" s="2">
        <v>7</v>
      </c>
      <c r="Q127" s="2">
        <v>5</v>
      </c>
      <c r="R127" s="2">
        <v>6</v>
      </c>
      <c r="S127" s="2">
        <v>2</v>
      </c>
      <c r="T127" s="2">
        <v>8</v>
      </c>
      <c r="U127" s="2">
        <v>3</v>
      </c>
    </row>
    <row r="128" spans="1:21" s="29" customFormat="1" x14ac:dyDescent="0.25">
      <c r="A128" s="12" t="s">
        <v>40</v>
      </c>
      <c r="B128" s="1">
        <v>12</v>
      </c>
      <c r="C128" s="1">
        <v>14</v>
      </c>
      <c r="D128" s="1">
        <v>6</v>
      </c>
      <c r="E128" s="1">
        <v>11</v>
      </c>
      <c r="F128" s="1">
        <v>1</v>
      </c>
      <c r="G128" s="1">
        <v>2</v>
      </c>
      <c r="H128" s="1">
        <v>9</v>
      </c>
      <c r="I128" s="1">
        <v>10</v>
      </c>
      <c r="J128" s="1">
        <v>13</v>
      </c>
      <c r="K128" s="1">
        <v>11</v>
      </c>
      <c r="L128" s="1">
        <v>13</v>
      </c>
      <c r="M128" s="1">
        <v>7</v>
      </c>
      <c r="N128" s="2">
        <v>9</v>
      </c>
      <c r="O128" s="2">
        <v>9</v>
      </c>
      <c r="P128" s="2">
        <v>12</v>
      </c>
      <c r="Q128" s="2">
        <v>10</v>
      </c>
      <c r="R128" s="2">
        <v>4</v>
      </c>
      <c r="S128" s="2">
        <v>4</v>
      </c>
      <c r="T128" s="2">
        <v>5</v>
      </c>
      <c r="U128" s="2">
        <v>9</v>
      </c>
    </row>
    <row r="129" spans="1:183" s="29" customFormat="1" x14ac:dyDescent="0.25">
      <c r="A129" s="12" t="s">
        <v>35</v>
      </c>
      <c r="B129" s="1">
        <v>-3</v>
      </c>
      <c r="C129" s="1">
        <v>-1</v>
      </c>
      <c r="D129" s="1">
        <v>12</v>
      </c>
      <c r="E129" s="1">
        <v>-1</v>
      </c>
      <c r="F129" s="1">
        <v>6</v>
      </c>
      <c r="G129" s="1">
        <v>0</v>
      </c>
      <c r="H129" s="1">
        <v>-2</v>
      </c>
      <c r="I129" s="1">
        <v>12</v>
      </c>
      <c r="J129" s="1">
        <v>-1</v>
      </c>
      <c r="K129" s="1">
        <v>3</v>
      </c>
      <c r="L129" s="1">
        <v>-1</v>
      </c>
      <c r="M129" s="1">
        <v>0</v>
      </c>
      <c r="N129" s="2">
        <v>6</v>
      </c>
      <c r="O129" s="2">
        <v>-1</v>
      </c>
      <c r="P129" s="2">
        <v>0</v>
      </c>
      <c r="Q129" s="2">
        <v>8</v>
      </c>
      <c r="R129" s="2">
        <v>-2</v>
      </c>
      <c r="S129" s="2">
        <v>-6</v>
      </c>
      <c r="T129" s="2">
        <v>-2</v>
      </c>
      <c r="U129" s="2">
        <v>-2</v>
      </c>
    </row>
    <row r="130" spans="1:183" s="29" customFormat="1" x14ac:dyDescent="0.25">
      <c r="A130" s="12" t="s">
        <v>28</v>
      </c>
      <c r="B130" s="1">
        <v>-2</v>
      </c>
      <c r="C130" s="1">
        <v>3</v>
      </c>
      <c r="D130" s="1">
        <v>2</v>
      </c>
      <c r="E130" s="1">
        <v>2</v>
      </c>
      <c r="F130" s="1">
        <v>8</v>
      </c>
      <c r="G130" s="1">
        <v>1</v>
      </c>
      <c r="H130" s="1">
        <v>2</v>
      </c>
      <c r="I130" s="1">
        <v>4</v>
      </c>
      <c r="J130" s="1">
        <v>2</v>
      </c>
      <c r="K130" s="1">
        <v>9</v>
      </c>
      <c r="L130" s="1">
        <v>10</v>
      </c>
      <c r="M130" s="1">
        <v>11</v>
      </c>
      <c r="N130" s="2">
        <v>7</v>
      </c>
      <c r="O130" s="2">
        <v>10</v>
      </c>
      <c r="P130" s="2">
        <v>15</v>
      </c>
      <c r="Q130" s="2">
        <v>4</v>
      </c>
      <c r="R130" s="2">
        <v>3</v>
      </c>
      <c r="S130" s="2">
        <v>-5</v>
      </c>
      <c r="T130" s="2"/>
      <c r="U130" s="2">
        <v>7</v>
      </c>
    </row>
    <row r="131" spans="1:183" s="29" customFormat="1" x14ac:dyDescent="0.25">
      <c r="A131" s="12" t="s">
        <v>15</v>
      </c>
      <c r="B131" s="1">
        <v>0</v>
      </c>
      <c r="C131" s="1">
        <v>1</v>
      </c>
      <c r="D131" s="1">
        <v>4</v>
      </c>
      <c r="E131" s="1">
        <v>8</v>
      </c>
      <c r="F131" s="1">
        <v>2</v>
      </c>
      <c r="G131" s="1">
        <v>4</v>
      </c>
      <c r="H131" s="1">
        <v>1</v>
      </c>
      <c r="I131" s="1">
        <v>1</v>
      </c>
      <c r="J131" s="1">
        <v>4</v>
      </c>
      <c r="K131" s="1">
        <v>2</v>
      </c>
      <c r="L131" s="1">
        <v>1</v>
      </c>
      <c r="M131" s="1">
        <v>4</v>
      </c>
      <c r="N131" s="2">
        <v>1</v>
      </c>
      <c r="O131" s="2">
        <v>11</v>
      </c>
      <c r="P131" s="2">
        <v>2</v>
      </c>
      <c r="Q131" s="2">
        <v>2</v>
      </c>
      <c r="R131" s="2">
        <v>2</v>
      </c>
      <c r="S131" s="2">
        <v>3</v>
      </c>
      <c r="T131" s="2">
        <v>4</v>
      </c>
      <c r="U131" s="2">
        <v>1</v>
      </c>
    </row>
    <row r="132" spans="1:183" s="29" customFormat="1" x14ac:dyDescent="0.25">
      <c r="A132" s="12" t="s">
        <v>16</v>
      </c>
      <c r="B132" s="1">
        <v>-1</v>
      </c>
      <c r="C132" s="1">
        <v>5</v>
      </c>
      <c r="D132" s="1">
        <v>14</v>
      </c>
      <c r="E132" s="1">
        <v>6</v>
      </c>
      <c r="F132" s="1">
        <v>5</v>
      </c>
      <c r="G132" s="1">
        <v>0</v>
      </c>
      <c r="H132" s="1">
        <v>5</v>
      </c>
      <c r="I132" s="1">
        <v>16</v>
      </c>
      <c r="J132" s="1">
        <v>12</v>
      </c>
      <c r="K132" s="1">
        <v>14</v>
      </c>
      <c r="L132" s="1">
        <v>3</v>
      </c>
      <c r="M132" s="1">
        <v>1</v>
      </c>
      <c r="N132" s="2">
        <v>3</v>
      </c>
      <c r="O132" s="2">
        <v>2</v>
      </c>
      <c r="P132" s="2">
        <v>9</v>
      </c>
      <c r="Q132" s="2">
        <v>3</v>
      </c>
      <c r="R132" s="2">
        <v>-3</v>
      </c>
      <c r="S132" s="2">
        <v>0</v>
      </c>
      <c r="T132" s="2">
        <v>10</v>
      </c>
      <c r="U132" s="2">
        <v>0</v>
      </c>
    </row>
    <row r="133" spans="1:183" s="29" customFormat="1" x14ac:dyDescent="0.25">
      <c r="A133" s="12" t="s">
        <v>34</v>
      </c>
      <c r="B133" s="1">
        <v>7</v>
      </c>
      <c r="C133" s="1">
        <v>6</v>
      </c>
      <c r="D133" s="1">
        <v>-1</v>
      </c>
      <c r="E133" s="1">
        <v>3</v>
      </c>
      <c r="F133" s="1">
        <v>0</v>
      </c>
      <c r="G133" s="1">
        <v>3</v>
      </c>
      <c r="H133" s="1">
        <v>10</v>
      </c>
      <c r="I133" s="1">
        <v>8</v>
      </c>
      <c r="J133" s="1">
        <v>14</v>
      </c>
      <c r="K133" s="1">
        <v>1</v>
      </c>
      <c r="L133" s="1">
        <v>7</v>
      </c>
      <c r="M133" s="1">
        <v>8</v>
      </c>
      <c r="N133" s="2">
        <v>15</v>
      </c>
      <c r="O133" s="2">
        <v>5</v>
      </c>
      <c r="P133" s="2">
        <v>1</v>
      </c>
      <c r="Q133" s="2">
        <v>9</v>
      </c>
      <c r="R133" s="2">
        <v>1</v>
      </c>
      <c r="S133" s="2">
        <v>5</v>
      </c>
      <c r="T133" s="2">
        <v>6</v>
      </c>
      <c r="U133" s="2">
        <v>5</v>
      </c>
    </row>
    <row r="134" spans="1:183" s="29" customFormat="1" x14ac:dyDescent="0.25">
      <c r="A134" s="12" t="s">
        <v>20</v>
      </c>
      <c r="B134" s="1">
        <v>6</v>
      </c>
      <c r="C134" s="1">
        <v>4</v>
      </c>
      <c r="D134" s="1">
        <v>10</v>
      </c>
      <c r="E134" s="1">
        <v>5</v>
      </c>
      <c r="F134" s="1">
        <v>-2</v>
      </c>
      <c r="G134" s="1">
        <v>10</v>
      </c>
      <c r="H134" s="1">
        <v>6</v>
      </c>
      <c r="I134" s="1">
        <v>5</v>
      </c>
      <c r="J134" s="1">
        <v>8</v>
      </c>
      <c r="K134" s="1">
        <v>13</v>
      </c>
      <c r="L134" s="1">
        <v>8</v>
      </c>
      <c r="M134" s="1">
        <v>5</v>
      </c>
      <c r="N134" s="2">
        <v>8</v>
      </c>
      <c r="O134" s="2">
        <v>3</v>
      </c>
      <c r="P134" s="2">
        <v>4</v>
      </c>
      <c r="Q134" s="2">
        <v>6</v>
      </c>
      <c r="R134" s="2">
        <v>8</v>
      </c>
      <c r="S134" s="2">
        <v>6</v>
      </c>
      <c r="T134" s="2">
        <v>7</v>
      </c>
      <c r="U134" s="2">
        <v>6</v>
      </c>
    </row>
    <row r="135" spans="1:183" s="29" customFormat="1" x14ac:dyDescent="0.25">
      <c r="A135" s="12" t="s">
        <v>27</v>
      </c>
      <c r="B135" s="1">
        <v>3</v>
      </c>
      <c r="C135" s="1">
        <v>8</v>
      </c>
      <c r="D135" s="1">
        <v>7</v>
      </c>
      <c r="E135" s="1">
        <v>1</v>
      </c>
      <c r="F135" s="1">
        <v>-1</v>
      </c>
      <c r="G135" s="1">
        <v>-1</v>
      </c>
      <c r="H135" s="1">
        <v>8</v>
      </c>
      <c r="I135" s="1">
        <v>2</v>
      </c>
      <c r="J135" s="1">
        <v>9</v>
      </c>
      <c r="K135" s="1">
        <v>5</v>
      </c>
      <c r="L135" s="1">
        <v>2</v>
      </c>
      <c r="M135" s="1">
        <v>2</v>
      </c>
      <c r="N135" s="2">
        <v>13</v>
      </c>
      <c r="O135" s="2">
        <v>15</v>
      </c>
      <c r="P135" s="2">
        <v>13</v>
      </c>
      <c r="Q135" s="2">
        <v>1</v>
      </c>
      <c r="R135" s="2">
        <v>-1</v>
      </c>
      <c r="S135" s="2">
        <v>-1</v>
      </c>
      <c r="T135" s="2">
        <v>12</v>
      </c>
      <c r="U135" s="2">
        <v>12</v>
      </c>
    </row>
    <row r="136" spans="1:183" s="29" customFormat="1" x14ac:dyDescent="0.25">
      <c r="A136" s="12" t="s">
        <v>1</v>
      </c>
      <c r="B136" s="1">
        <v>0</v>
      </c>
      <c r="C136" s="1">
        <v>16</v>
      </c>
      <c r="D136" s="1">
        <v>0</v>
      </c>
      <c r="E136" s="1">
        <v>-4</v>
      </c>
      <c r="F136" s="1">
        <v>0</v>
      </c>
      <c r="G136" s="1">
        <v>0</v>
      </c>
      <c r="H136" s="1">
        <v>13</v>
      </c>
      <c r="I136" s="1">
        <v>17</v>
      </c>
      <c r="J136" s="1">
        <v>17</v>
      </c>
      <c r="K136" s="1">
        <v>17</v>
      </c>
      <c r="L136" s="1">
        <v>16</v>
      </c>
      <c r="M136" s="1">
        <v>17</v>
      </c>
      <c r="N136" s="2">
        <v>-2</v>
      </c>
      <c r="O136" s="2">
        <v>16</v>
      </c>
      <c r="P136" s="2">
        <v>10</v>
      </c>
      <c r="Q136" s="2">
        <v>0</v>
      </c>
      <c r="R136" s="2">
        <v>9</v>
      </c>
      <c r="S136" s="2">
        <v>-7</v>
      </c>
      <c r="T136" s="2">
        <v>-3</v>
      </c>
      <c r="U136" s="2">
        <v>13</v>
      </c>
    </row>
    <row r="137" spans="1:183" s="29" customFormat="1" x14ac:dyDescent="0.25">
      <c r="A137" s="12" t="s">
        <v>31</v>
      </c>
      <c r="B137" s="1">
        <v>2</v>
      </c>
      <c r="C137" s="1">
        <v>13</v>
      </c>
      <c r="D137" s="1">
        <v>15</v>
      </c>
      <c r="E137" s="1">
        <v>10</v>
      </c>
      <c r="F137" s="1">
        <v>-4</v>
      </c>
      <c r="G137" s="1">
        <v>6</v>
      </c>
      <c r="H137" s="1">
        <v>14</v>
      </c>
      <c r="I137" s="1">
        <v>14</v>
      </c>
      <c r="J137" s="1">
        <v>10</v>
      </c>
      <c r="K137" s="1">
        <v>4</v>
      </c>
      <c r="L137" s="1">
        <v>4</v>
      </c>
      <c r="M137" s="1">
        <v>12</v>
      </c>
      <c r="N137" s="2">
        <v>14</v>
      </c>
      <c r="O137" s="2">
        <v>6</v>
      </c>
      <c r="P137" s="2">
        <v>3</v>
      </c>
      <c r="Q137" s="2">
        <v>0</v>
      </c>
      <c r="R137" s="2">
        <v>15</v>
      </c>
      <c r="S137" s="2">
        <v>-4</v>
      </c>
      <c r="T137" s="2">
        <v>-1</v>
      </c>
      <c r="U137" s="2">
        <v>8</v>
      </c>
    </row>
    <row r="138" spans="1:183" s="29" customFormat="1" x14ac:dyDescent="0.25">
      <c r="A138" s="12" t="s">
        <v>18</v>
      </c>
      <c r="B138" s="1">
        <v>0</v>
      </c>
      <c r="C138" s="1">
        <v>2</v>
      </c>
      <c r="D138" s="1">
        <v>5</v>
      </c>
      <c r="E138" s="1">
        <v>-2</v>
      </c>
      <c r="F138" s="1">
        <v>-5</v>
      </c>
      <c r="G138" s="1">
        <v>0</v>
      </c>
      <c r="H138" s="1">
        <v>-1</v>
      </c>
      <c r="I138" s="1">
        <v>-1</v>
      </c>
      <c r="J138" s="1">
        <v>3</v>
      </c>
      <c r="K138" s="1">
        <v>6</v>
      </c>
      <c r="L138" s="1">
        <v>15</v>
      </c>
      <c r="M138" s="1">
        <v>6</v>
      </c>
      <c r="N138" s="2">
        <v>12</v>
      </c>
      <c r="O138" s="2">
        <v>4</v>
      </c>
      <c r="P138" s="2">
        <v>5</v>
      </c>
      <c r="Q138" s="2">
        <v>7</v>
      </c>
      <c r="R138" s="2">
        <v>7</v>
      </c>
      <c r="S138" s="2">
        <v>0</v>
      </c>
      <c r="T138" s="2">
        <v>3</v>
      </c>
      <c r="U138" s="2">
        <v>10</v>
      </c>
    </row>
    <row r="139" spans="1:183" s="29" customFormat="1" x14ac:dyDescent="0.25">
      <c r="A139" s="12" t="s">
        <v>29</v>
      </c>
      <c r="B139" s="1">
        <v>10</v>
      </c>
      <c r="C139" s="1">
        <v>15</v>
      </c>
      <c r="D139" s="1">
        <v>13</v>
      </c>
      <c r="E139" s="1">
        <v>-3</v>
      </c>
      <c r="F139" s="1">
        <v>-3</v>
      </c>
      <c r="G139" s="1">
        <v>8</v>
      </c>
      <c r="H139" s="1">
        <v>-3</v>
      </c>
      <c r="I139" s="1">
        <v>11</v>
      </c>
      <c r="J139" s="1">
        <v>1</v>
      </c>
      <c r="K139" s="1">
        <v>12</v>
      </c>
      <c r="L139" s="1">
        <v>-2</v>
      </c>
      <c r="M139" s="1">
        <v>13</v>
      </c>
      <c r="N139" s="2">
        <v>-1</v>
      </c>
      <c r="O139" s="2">
        <v>14</v>
      </c>
      <c r="P139" s="2">
        <v>17</v>
      </c>
      <c r="Q139" s="2">
        <v>14</v>
      </c>
      <c r="R139" s="2">
        <v>5</v>
      </c>
      <c r="S139" s="2">
        <v>-2</v>
      </c>
      <c r="T139" s="2">
        <v>-4</v>
      </c>
      <c r="U139" s="2">
        <v>0</v>
      </c>
    </row>
    <row r="141" spans="1:183" x14ac:dyDescent="0.25">
      <c r="A141" s="12" t="s">
        <v>59</v>
      </c>
      <c r="B141" s="14">
        <v>39022</v>
      </c>
      <c r="C141" s="14">
        <v>39052</v>
      </c>
      <c r="D141" s="14">
        <v>39083</v>
      </c>
      <c r="E141" s="14">
        <v>39114</v>
      </c>
      <c r="F141" s="14">
        <v>39142</v>
      </c>
      <c r="G141" s="14">
        <v>39173</v>
      </c>
      <c r="H141" s="14">
        <v>39203</v>
      </c>
      <c r="I141" s="14">
        <v>39234</v>
      </c>
      <c r="J141" s="14">
        <v>39264</v>
      </c>
      <c r="K141" s="14">
        <v>39295</v>
      </c>
      <c r="L141" s="14">
        <v>39326</v>
      </c>
      <c r="M141" s="14">
        <v>39356</v>
      </c>
      <c r="N141" s="14">
        <v>39387</v>
      </c>
      <c r="O141" s="14">
        <v>39417</v>
      </c>
      <c r="P141" s="14">
        <v>39448</v>
      </c>
      <c r="Q141" s="14">
        <v>39479</v>
      </c>
      <c r="R141" s="14">
        <v>39508</v>
      </c>
      <c r="S141" s="14">
        <v>39539</v>
      </c>
      <c r="T141" s="14">
        <v>39569</v>
      </c>
      <c r="U141" s="14">
        <v>39600</v>
      </c>
      <c r="V141" s="14">
        <v>39630</v>
      </c>
      <c r="W141" s="14">
        <v>39661</v>
      </c>
      <c r="X141" s="14">
        <v>39692</v>
      </c>
      <c r="Y141" s="14">
        <v>39722</v>
      </c>
      <c r="Z141" s="14">
        <v>39753</v>
      </c>
      <c r="AA141" s="14">
        <v>39783</v>
      </c>
      <c r="AB141" s="14">
        <v>39814</v>
      </c>
      <c r="AC141" s="14">
        <v>39845</v>
      </c>
      <c r="AD141" s="14">
        <v>39873</v>
      </c>
      <c r="AE141" s="14">
        <v>39904</v>
      </c>
      <c r="AF141" s="14">
        <v>39934</v>
      </c>
      <c r="AG141" s="14">
        <v>39965</v>
      </c>
      <c r="AH141" s="14">
        <v>39995</v>
      </c>
      <c r="AI141" s="14">
        <v>40026</v>
      </c>
      <c r="AJ141" s="14">
        <v>40057</v>
      </c>
      <c r="AK141" s="14">
        <v>40087</v>
      </c>
      <c r="AL141" s="14">
        <v>40118</v>
      </c>
      <c r="AM141" s="14">
        <v>40148</v>
      </c>
      <c r="AN141" s="14">
        <v>40179</v>
      </c>
      <c r="AO141" s="14">
        <v>40210</v>
      </c>
      <c r="AP141" s="14">
        <v>40238</v>
      </c>
      <c r="AQ141" s="14">
        <v>40269</v>
      </c>
      <c r="AR141" s="14">
        <v>40299</v>
      </c>
      <c r="AS141" s="14">
        <v>40330</v>
      </c>
      <c r="AT141" s="14">
        <v>40360</v>
      </c>
      <c r="AU141" s="14">
        <v>40391</v>
      </c>
      <c r="AV141" s="14">
        <v>40422</v>
      </c>
      <c r="AW141" s="14">
        <v>40452</v>
      </c>
      <c r="AX141" s="14">
        <v>40483</v>
      </c>
      <c r="AY141" s="14">
        <v>40513</v>
      </c>
      <c r="AZ141" s="14">
        <v>40544</v>
      </c>
      <c r="BA141" s="14">
        <v>40575</v>
      </c>
      <c r="BB141" s="14">
        <v>40603</v>
      </c>
      <c r="BC141" s="14">
        <v>40634</v>
      </c>
      <c r="BD141" s="14">
        <v>40664</v>
      </c>
      <c r="BE141" s="14">
        <v>40695</v>
      </c>
      <c r="BF141" s="14">
        <v>40725</v>
      </c>
      <c r="BG141" s="14">
        <v>40756</v>
      </c>
      <c r="BH141" s="14">
        <v>40787</v>
      </c>
      <c r="BI141" s="14">
        <v>40817</v>
      </c>
      <c r="BJ141" s="14">
        <v>40848</v>
      </c>
      <c r="BK141" s="14">
        <v>40878</v>
      </c>
      <c r="BL141" s="14">
        <v>40909</v>
      </c>
      <c r="BM141" s="14">
        <v>40940</v>
      </c>
      <c r="BN141" s="14">
        <v>40969</v>
      </c>
      <c r="BO141" s="14">
        <v>41000</v>
      </c>
      <c r="BP141" s="14">
        <v>41030</v>
      </c>
      <c r="BQ141" s="14">
        <v>41061</v>
      </c>
      <c r="BR141" s="14">
        <v>41091</v>
      </c>
      <c r="BS141" s="14">
        <v>41122</v>
      </c>
      <c r="BT141" s="14">
        <v>41153</v>
      </c>
      <c r="BU141" s="14">
        <v>41183</v>
      </c>
      <c r="BV141" s="14">
        <v>41214</v>
      </c>
      <c r="BW141" s="14">
        <v>41244</v>
      </c>
      <c r="BX141" s="14">
        <v>41275</v>
      </c>
      <c r="BY141" s="14">
        <v>41306</v>
      </c>
      <c r="BZ141" s="14">
        <v>41334</v>
      </c>
      <c r="CA141" s="14">
        <v>41365</v>
      </c>
      <c r="CB141" s="14">
        <v>41395</v>
      </c>
      <c r="CC141" s="14">
        <v>41426</v>
      </c>
      <c r="CD141" s="14">
        <v>41456</v>
      </c>
      <c r="CE141" s="14">
        <v>41487</v>
      </c>
      <c r="CF141" s="14">
        <v>41518</v>
      </c>
      <c r="CG141" s="14">
        <v>41548</v>
      </c>
      <c r="CH141" s="14">
        <v>41579</v>
      </c>
      <c r="CI141" s="14">
        <v>41609</v>
      </c>
      <c r="CJ141" s="14">
        <v>41640</v>
      </c>
      <c r="CK141" s="14">
        <v>41671</v>
      </c>
      <c r="CL141" s="14">
        <v>41699</v>
      </c>
      <c r="CM141" s="14">
        <v>41730</v>
      </c>
      <c r="CN141" s="14">
        <v>41760</v>
      </c>
      <c r="CO141" s="14">
        <v>41791</v>
      </c>
      <c r="CP141" s="14">
        <v>41821</v>
      </c>
      <c r="CQ141" s="14">
        <v>41852</v>
      </c>
      <c r="CR141" s="14">
        <v>41883</v>
      </c>
      <c r="CS141" s="14">
        <v>41913</v>
      </c>
      <c r="CT141" s="14">
        <v>41944</v>
      </c>
      <c r="CU141" s="14">
        <v>41974</v>
      </c>
      <c r="CV141" s="14">
        <v>42005</v>
      </c>
      <c r="CW141" s="14">
        <v>42036</v>
      </c>
      <c r="CX141" s="14">
        <v>42064</v>
      </c>
      <c r="CY141" s="14">
        <v>42095</v>
      </c>
      <c r="CZ141" s="14">
        <v>42125</v>
      </c>
      <c r="DA141" s="14">
        <v>42156</v>
      </c>
      <c r="DB141" s="14">
        <v>42186</v>
      </c>
      <c r="DC141" s="14">
        <v>42217</v>
      </c>
      <c r="DD141" s="14">
        <v>42248</v>
      </c>
      <c r="DE141" s="14">
        <v>42278</v>
      </c>
      <c r="DF141" s="14">
        <v>42309</v>
      </c>
      <c r="DG141" s="14">
        <v>42339</v>
      </c>
      <c r="DH141" s="14">
        <v>42370</v>
      </c>
      <c r="DI141" s="14">
        <v>42401</v>
      </c>
      <c r="DJ141" s="14">
        <v>42430</v>
      </c>
      <c r="DK141" s="14">
        <v>42461</v>
      </c>
      <c r="DL141" s="14">
        <v>42491</v>
      </c>
      <c r="DM141" s="14">
        <v>42522</v>
      </c>
      <c r="DN141" s="14">
        <v>42552</v>
      </c>
      <c r="DO141" s="14">
        <v>42583</v>
      </c>
      <c r="DP141" s="14">
        <v>42614</v>
      </c>
      <c r="DQ141" s="14">
        <v>42644</v>
      </c>
      <c r="DR141" s="14">
        <v>42675</v>
      </c>
      <c r="DS141" s="14">
        <v>42705</v>
      </c>
      <c r="DT141" s="14">
        <v>42736</v>
      </c>
      <c r="DU141" s="14">
        <v>42767</v>
      </c>
      <c r="DV141" s="14">
        <v>42795</v>
      </c>
      <c r="DW141" s="14">
        <v>42826</v>
      </c>
      <c r="DX141" s="14">
        <v>42856</v>
      </c>
      <c r="DY141" s="14">
        <v>42887</v>
      </c>
      <c r="DZ141" s="14">
        <v>42917</v>
      </c>
      <c r="EA141" s="14">
        <v>42948</v>
      </c>
      <c r="EB141" s="14">
        <v>42979</v>
      </c>
      <c r="EC141" s="14">
        <v>43009</v>
      </c>
      <c r="ED141" s="14">
        <v>43040</v>
      </c>
      <c r="EE141" s="14">
        <v>43070</v>
      </c>
      <c r="EF141" s="14">
        <v>43101</v>
      </c>
      <c r="EG141" s="14">
        <v>43132</v>
      </c>
      <c r="EH141" s="14">
        <v>43160</v>
      </c>
      <c r="EI141" s="14">
        <v>43191</v>
      </c>
      <c r="EJ141" s="14">
        <v>43221</v>
      </c>
      <c r="EK141" s="14">
        <v>43252</v>
      </c>
      <c r="EL141" s="14">
        <v>43282</v>
      </c>
      <c r="EM141" s="14">
        <v>43313</v>
      </c>
      <c r="EN141" s="14">
        <v>43344</v>
      </c>
      <c r="EO141" s="14">
        <v>43374</v>
      </c>
      <c r="EP141" s="14">
        <v>43405</v>
      </c>
      <c r="EQ141" s="14">
        <v>43435</v>
      </c>
      <c r="ER141" s="14">
        <v>43466</v>
      </c>
      <c r="ES141" s="14">
        <v>43497</v>
      </c>
      <c r="ET141" s="14">
        <v>43525</v>
      </c>
      <c r="EU141" s="14">
        <v>43556</v>
      </c>
      <c r="EV141" s="14">
        <v>43586</v>
      </c>
      <c r="EW141" s="14">
        <v>43617</v>
      </c>
      <c r="EX141" s="14">
        <v>43647</v>
      </c>
      <c r="EY141" s="14">
        <v>43678</v>
      </c>
      <c r="EZ141" s="14">
        <v>43709</v>
      </c>
      <c r="FA141" s="14">
        <v>43739</v>
      </c>
      <c r="FB141" s="14">
        <v>43770</v>
      </c>
      <c r="FC141" s="14">
        <v>43800</v>
      </c>
      <c r="FD141" s="14">
        <v>43831</v>
      </c>
      <c r="FE141" s="14">
        <v>43862</v>
      </c>
      <c r="FF141" s="14">
        <v>43891</v>
      </c>
      <c r="FG141" s="14">
        <v>43922</v>
      </c>
      <c r="FH141" s="14">
        <v>43952</v>
      </c>
      <c r="FI141" s="14">
        <v>43983</v>
      </c>
      <c r="FJ141" s="14">
        <v>44013</v>
      </c>
      <c r="FK141" s="14">
        <v>44044</v>
      </c>
      <c r="FL141" s="14">
        <v>44075</v>
      </c>
      <c r="FM141" s="14">
        <v>44105</v>
      </c>
      <c r="FN141" s="14">
        <v>44136</v>
      </c>
      <c r="FO141" s="14">
        <v>44166</v>
      </c>
      <c r="FP141" s="14">
        <v>44197</v>
      </c>
      <c r="FQ141" s="14">
        <v>44228</v>
      </c>
      <c r="FR141" s="14">
        <v>44256</v>
      </c>
      <c r="FS141" s="14">
        <v>44287</v>
      </c>
      <c r="FT141" s="14">
        <v>44317</v>
      </c>
      <c r="FU141" s="14">
        <v>44348</v>
      </c>
      <c r="FV141" s="14">
        <v>44378</v>
      </c>
      <c r="FW141" s="14">
        <v>44409</v>
      </c>
      <c r="FX141" s="14">
        <v>44440</v>
      </c>
      <c r="FY141" s="14">
        <v>44470</v>
      </c>
      <c r="FZ141" s="14">
        <v>44501</v>
      </c>
      <c r="GA141" s="14">
        <v>44531</v>
      </c>
    </row>
    <row r="142" spans="1:183" x14ac:dyDescent="0.25">
      <c r="A142" s="1"/>
      <c r="B142" s="1">
        <v>54.5</v>
      </c>
      <c r="C142" s="1">
        <v>53.7</v>
      </c>
      <c r="D142" s="1">
        <v>55.6</v>
      </c>
      <c r="E142" s="1">
        <v>54.2</v>
      </c>
      <c r="F142" s="1">
        <v>52</v>
      </c>
      <c r="G142" s="1">
        <v>53.3</v>
      </c>
      <c r="H142" s="1">
        <v>54.2</v>
      </c>
      <c r="I142" s="1">
        <v>55.3</v>
      </c>
      <c r="J142" s="1">
        <v>53.6</v>
      </c>
      <c r="K142" s="1">
        <v>52.8</v>
      </c>
      <c r="L142" s="1">
        <v>52.5</v>
      </c>
      <c r="M142" s="1">
        <v>53.5</v>
      </c>
      <c r="N142" s="1">
        <v>52.7</v>
      </c>
      <c r="O142" s="1">
        <v>52.5</v>
      </c>
      <c r="P142" s="1">
        <v>45</v>
      </c>
      <c r="Q142" s="1">
        <v>49.3</v>
      </c>
      <c r="R142" s="1">
        <v>49.6</v>
      </c>
      <c r="S142" s="1">
        <v>52</v>
      </c>
      <c r="T142" s="1">
        <v>51.7</v>
      </c>
      <c r="U142" s="1">
        <v>48.2</v>
      </c>
      <c r="V142" s="1">
        <v>49.5</v>
      </c>
      <c r="W142" s="1">
        <v>50.6</v>
      </c>
      <c r="X142" s="1">
        <v>50.2</v>
      </c>
      <c r="Y142" s="1">
        <v>44.4</v>
      </c>
      <c r="Z142" s="1">
        <v>37.299999999999997</v>
      </c>
      <c r="AA142" s="1">
        <v>40.6</v>
      </c>
      <c r="AB142" s="1">
        <v>42.9</v>
      </c>
      <c r="AC142" s="1">
        <v>41.6</v>
      </c>
      <c r="AD142" s="1">
        <v>40.799999999999997</v>
      </c>
      <c r="AE142" s="1">
        <v>43.7</v>
      </c>
      <c r="AF142" s="1">
        <v>44</v>
      </c>
      <c r="AG142" s="1">
        <v>47</v>
      </c>
      <c r="AH142" s="1">
        <v>46.4</v>
      </c>
      <c r="AI142" s="1">
        <v>48.4</v>
      </c>
      <c r="AJ142" s="1">
        <v>50.9</v>
      </c>
      <c r="AK142" s="1">
        <v>50.6</v>
      </c>
      <c r="AL142" s="1">
        <v>48.7</v>
      </c>
      <c r="AM142" s="1">
        <v>50.1</v>
      </c>
      <c r="AN142" s="1">
        <v>50.5</v>
      </c>
      <c r="AO142" s="1">
        <v>53</v>
      </c>
      <c r="AP142" s="1">
        <v>55.4</v>
      </c>
      <c r="AQ142" s="1">
        <v>55.4</v>
      </c>
      <c r="AR142" s="1">
        <v>55.4</v>
      </c>
      <c r="AS142" s="1">
        <v>53.8</v>
      </c>
      <c r="AT142" s="1">
        <v>54.3</v>
      </c>
      <c r="AU142" s="1">
        <v>51.5</v>
      </c>
      <c r="AV142" s="1">
        <v>53.2</v>
      </c>
      <c r="AW142" s="1">
        <v>54.3</v>
      </c>
      <c r="AX142" s="1">
        <v>55</v>
      </c>
      <c r="AY142" s="1">
        <v>57.1</v>
      </c>
      <c r="AZ142" s="1">
        <v>59.4</v>
      </c>
      <c r="BA142" s="1">
        <v>59.7</v>
      </c>
      <c r="BB142" s="1">
        <v>57.3</v>
      </c>
      <c r="BC142" s="1">
        <v>52.8</v>
      </c>
      <c r="BD142" s="1">
        <v>54.6</v>
      </c>
      <c r="BE142" s="1">
        <v>53.3</v>
      </c>
      <c r="BF142" s="1">
        <v>52.7</v>
      </c>
      <c r="BG142" s="1">
        <v>53.3</v>
      </c>
      <c r="BH142" s="1">
        <v>53</v>
      </c>
      <c r="BI142" s="1">
        <v>52.9</v>
      </c>
      <c r="BJ142" s="1">
        <v>52</v>
      </c>
      <c r="BK142" s="1">
        <v>52.6</v>
      </c>
      <c r="BL142" s="1">
        <v>56.8</v>
      </c>
      <c r="BM142" s="1">
        <v>57.3</v>
      </c>
      <c r="BN142" s="1">
        <v>56</v>
      </c>
      <c r="BO142" s="1">
        <v>53.5</v>
      </c>
      <c r="BP142" s="1">
        <v>53.7</v>
      </c>
      <c r="BQ142" s="1">
        <v>52.1</v>
      </c>
      <c r="BR142" s="1">
        <v>52.6</v>
      </c>
      <c r="BS142" s="1">
        <v>53.7</v>
      </c>
      <c r="BT142" s="1">
        <v>55.1</v>
      </c>
      <c r="BU142" s="1">
        <v>54.2</v>
      </c>
      <c r="BV142" s="1">
        <v>54.7</v>
      </c>
      <c r="BW142" s="1">
        <v>56.1</v>
      </c>
      <c r="BX142" s="1">
        <v>55.2</v>
      </c>
      <c r="BY142" s="1">
        <v>56</v>
      </c>
      <c r="BZ142" s="1">
        <v>54.4</v>
      </c>
      <c r="CA142" s="1">
        <v>53.1</v>
      </c>
      <c r="CB142" s="1">
        <v>53.7</v>
      </c>
      <c r="CC142" s="1">
        <v>52.2</v>
      </c>
      <c r="CD142" s="1">
        <v>56</v>
      </c>
      <c r="CE142" s="1">
        <v>58.6</v>
      </c>
      <c r="CF142" s="1">
        <v>54.4</v>
      </c>
      <c r="CG142" s="1">
        <v>55.4</v>
      </c>
      <c r="CH142" s="1">
        <v>53.9</v>
      </c>
      <c r="CI142" s="1">
        <v>53</v>
      </c>
      <c r="CJ142" s="1">
        <v>54</v>
      </c>
      <c r="CK142" s="1">
        <v>51.6</v>
      </c>
      <c r="CL142" s="1">
        <v>53.1</v>
      </c>
      <c r="CM142" s="1">
        <v>55.2</v>
      </c>
      <c r="CN142" s="1">
        <v>56.3</v>
      </c>
      <c r="CO142" s="1">
        <v>56</v>
      </c>
      <c r="CP142" s="1">
        <v>58.7</v>
      </c>
      <c r="CQ142" s="1">
        <v>59.6</v>
      </c>
      <c r="CR142" s="1">
        <v>58.6</v>
      </c>
      <c r="CS142" s="1">
        <v>57.1</v>
      </c>
      <c r="CT142" s="1">
        <v>59.3</v>
      </c>
      <c r="CU142" s="1">
        <v>56.2</v>
      </c>
      <c r="CV142" s="1">
        <v>56.7</v>
      </c>
      <c r="CW142" s="1">
        <v>56.9</v>
      </c>
      <c r="CX142" s="1">
        <v>56.5</v>
      </c>
      <c r="CY142" s="1">
        <v>57.8</v>
      </c>
      <c r="CZ142" s="1">
        <v>55.7</v>
      </c>
      <c r="DA142" s="1">
        <v>56</v>
      </c>
      <c r="DB142" s="1">
        <v>60.3</v>
      </c>
      <c r="DC142" s="1">
        <v>59</v>
      </c>
      <c r="DD142" s="1">
        <v>56.9</v>
      </c>
      <c r="DE142" s="1">
        <v>59.1</v>
      </c>
      <c r="DF142" s="1">
        <v>55.9</v>
      </c>
      <c r="DG142" s="1">
        <v>55.3</v>
      </c>
      <c r="DH142" s="1">
        <v>53.5</v>
      </c>
      <c r="DI142" s="1">
        <v>53.4</v>
      </c>
      <c r="DJ142" s="1">
        <v>54.5</v>
      </c>
      <c r="DK142" s="1">
        <v>55.7</v>
      </c>
      <c r="DL142" s="1">
        <v>52.9</v>
      </c>
      <c r="DM142" s="1">
        <v>56.5</v>
      </c>
      <c r="DN142" s="1">
        <v>55.5</v>
      </c>
      <c r="DO142" s="1">
        <v>51.4</v>
      </c>
      <c r="DP142" s="1">
        <v>57.1</v>
      </c>
      <c r="DQ142" s="1">
        <v>54.8</v>
      </c>
      <c r="DR142" s="1">
        <v>57.2</v>
      </c>
      <c r="DS142" s="1">
        <v>57.2</v>
      </c>
      <c r="DT142" s="1">
        <v>56.5</v>
      </c>
      <c r="DU142" s="1">
        <v>57.6</v>
      </c>
      <c r="DV142" s="1">
        <v>55.2</v>
      </c>
      <c r="DW142" s="1">
        <v>57.5</v>
      </c>
      <c r="DX142" s="1">
        <v>56.9</v>
      </c>
      <c r="DY142" s="1">
        <v>57.4</v>
      </c>
      <c r="DZ142" s="1">
        <v>53.9</v>
      </c>
      <c r="EA142" s="1">
        <v>55.3</v>
      </c>
      <c r="EB142" s="1">
        <v>59.8</v>
      </c>
      <c r="EC142" s="1">
        <v>60.1</v>
      </c>
      <c r="ED142" s="1">
        <v>57.4</v>
      </c>
      <c r="EE142" s="1">
        <v>55.9</v>
      </c>
      <c r="EF142" s="1">
        <v>59.9</v>
      </c>
      <c r="EG142" s="1">
        <v>59.5</v>
      </c>
      <c r="EH142" s="1">
        <v>58.8</v>
      </c>
      <c r="EI142" s="1">
        <v>56.8</v>
      </c>
      <c r="EJ142" s="1">
        <v>58.6</v>
      </c>
      <c r="EK142" s="1">
        <v>59.1</v>
      </c>
      <c r="EL142" s="1">
        <v>55.7</v>
      </c>
      <c r="EM142" s="1">
        <v>58.5</v>
      </c>
      <c r="EN142" s="1">
        <v>61.6</v>
      </c>
      <c r="EO142" s="1">
        <v>60.3</v>
      </c>
      <c r="EP142" s="1">
        <v>60.7</v>
      </c>
      <c r="EQ142" s="1">
        <v>57.6</v>
      </c>
      <c r="ER142" s="1">
        <v>56.7</v>
      </c>
      <c r="ES142" s="1">
        <v>59.7</v>
      </c>
      <c r="ET142" s="1">
        <v>56.1</v>
      </c>
      <c r="EU142" s="1">
        <v>55.5</v>
      </c>
      <c r="EV142" s="1">
        <v>56.9</v>
      </c>
      <c r="EW142" s="1">
        <v>55.1</v>
      </c>
      <c r="EX142" s="1">
        <v>53.7</v>
      </c>
      <c r="EY142" s="1">
        <v>56.4</v>
      </c>
      <c r="EZ142" s="1">
        <v>52.6</v>
      </c>
      <c r="FA142" s="1">
        <v>54.7</v>
      </c>
      <c r="FB142" s="1">
        <v>53.9</v>
      </c>
      <c r="FC142" s="1">
        <v>55</v>
      </c>
      <c r="FD142" s="1">
        <v>55.5</v>
      </c>
      <c r="FE142" s="1">
        <v>57.3</v>
      </c>
      <c r="FF142" s="1">
        <v>52.5</v>
      </c>
      <c r="FG142" s="1">
        <v>41.8</v>
      </c>
      <c r="FH142" s="1">
        <v>45.4</v>
      </c>
      <c r="FI142" s="1">
        <v>57.1</v>
      </c>
      <c r="FJ142" s="1">
        <v>58.1</v>
      </c>
      <c r="FK142" s="1">
        <v>56.9</v>
      </c>
      <c r="FL142" s="1">
        <v>57.8</v>
      </c>
      <c r="FM142" s="1">
        <v>56.6</v>
      </c>
      <c r="FN142" s="1">
        <v>55.9</v>
      </c>
      <c r="FO142" s="1">
        <v>57.2</v>
      </c>
      <c r="FP142" s="1">
        <v>58.7</v>
      </c>
      <c r="FQ142" s="1">
        <v>55.3</v>
      </c>
      <c r="FR142" s="1">
        <v>63.7</v>
      </c>
      <c r="FS142" s="2">
        <v>62.7</v>
      </c>
      <c r="FT142" s="2">
        <v>64</v>
      </c>
      <c r="FU142" s="1">
        <v>60.1</v>
      </c>
      <c r="FV142" s="2">
        <v>64.099999999999994</v>
      </c>
      <c r="FW142" s="2">
        <v>61.7</v>
      </c>
      <c r="FX142" s="2">
        <v>61.9</v>
      </c>
      <c r="FY142" s="2">
        <v>66.7</v>
      </c>
      <c r="FZ142" s="2">
        <v>69.099999999999994</v>
      </c>
      <c r="GA142" s="2">
        <v>62</v>
      </c>
    </row>
  </sheetData>
  <pageMargins left="0.7" right="0.7" top="0.75" bottom="0.75" header="0.51180555555555496" footer="0.51180555555555496"/>
  <pageSetup paperSize="9" firstPageNumber="0" orientation="portrait" horizontalDpi="300" verticalDpi="300"/>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tabColor theme="9" tint="-0.249977111117893"/>
  </sheetPr>
  <dimension ref="A28"/>
  <sheetViews>
    <sheetView topLeftCell="A37" zoomScale="90" zoomScaleNormal="90" workbookViewId="0">
      <selection activeCell="S370" sqref="S370"/>
    </sheetView>
  </sheetViews>
  <sheetFormatPr defaultRowHeight="15" x14ac:dyDescent="0.25"/>
  <cols>
    <col min="1" max="1025" width="8.7109375" customWidth="1"/>
  </cols>
  <sheetData>
    <row r="28" ht="15.75" customHeight="1" x14ac:dyDescent="0.25"/>
  </sheetData>
  <pageMargins left="0.7" right="0.7" top="0.75" bottom="0.75" header="0.51180555555555496" footer="0.51180555555555496"/>
  <pageSetup paperSize="9" firstPageNumber="0" orientation="portrait" horizontalDpi="300" verticalDpi="300"/>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tabColor theme="9"/>
  </sheetPr>
  <dimension ref="A1:C554"/>
  <sheetViews>
    <sheetView topLeftCell="A144" zoomScaleNormal="100" workbookViewId="0">
      <selection activeCell="E150" sqref="E150"/>
    </sheetView>
  </sheetViews>
  <sheetFormatPr defaultRowHeight="15" x14ac:dyDescent="0.25"/>
  <cols>
    <col min="1" max="1" width="27" customWidth="1"/>
    <col min="2" max="2" width="17.28515625" bestFit="1" customWidth="1"/>
    <col min="3" max="3" width="137.85546875" customWidth="1"/>
    <col min="4" max="4" width="13.140625" bestFit="1" customWidth="1"/>
    <col min="5" max="5" width="30.5703125" bestFit="1" customWidth="1"/>
    <col min="6" max="6" width="30.140625" bestFit="1" customWidth="1"/>
    <col min="7" max="7" width="20.42578125" bestFit="1" customWidth="1"/>
    <col min="8" max="8" width="9.42578125" bestFit="1" customWidth="1"/>
    <col min="9" max="9" width="38.140625" bestFit="1" customWidth="1"/>
    <col min="10" max="10" width="13.140625" bestFit="1" customWidth="1"/>
    <col min="11" max="11" width="41.85546875" bestFit="1" customWidth="1"/>
    <col min="12" max="12" width="8.5703125" bestFit="1" customWidth="1"/>
    <col min="13" max="13" width="22" bestFit="1" customWidth="1"/>
    <col min="14" max="14" width="13.85546875" bestFit="1" customWidth="1"/>
    <col min="15" max="15" width="20.7109375" bestFit="1" customWidth="1"/>
    <col min="16" max="16" width="32.42578125" bestFit="1" customWidth="1"/>
    <col min="17" max="17" width="32" bestFit="1" customWidth="1"/>
    <col min="18" max="18" width="15.42578125" bestFit="1" customWidth="1"/>
    <col min="19" max="19" width="28.28515625" bestFit="1" customWidth="1"/>
    <col min="20" max="1023" width="8.7109375" customWidth="1"/>
  </cols>
  <sheetData>
    <row r="1" spans="1:3" ht="19.5" x14ac:dyDescent="0.3">
      <c r="A1" s="50" t="s">
        <v>3832</v>
      </c>
      <c r="B1" s="50" t="s">
        <v>3820</v>
      </c>
      <c r="C1" s="51" t="s">
        <v>3833</v>
      </c>
    </row>
    <row r="2" spans="1:3" x14ac:dyDescent="0.25">
      <c r="A2" s="52" t="s">
        <v>41</v>
      </c>
      <c r="B2" s="53">
        <v>44044</v>
      </c>
      <c r="C2" s="54" t="e">
        <f>VLOOKUP(A2,'August 2020'!$F$3:$G$12,2,FALSE)</f>
        <v>#N/A</v>
      </c>
    </row>
    <row r="3" spans="1:3" s="29" customFormat="1" x14ac:dyDescent="0.25">
      <c r="A3" s="52"/>
      <c r="B3" s="53">
        <v>44075</v>
      </c>
      <c r="C3" s="54" t="str">
        <f>VLOOKUP(A2,'September 2020'!$F$3:$G$12,2,FALSE)</f>
        <v xml:space="preserve">We are remaining cautiously positive and resuming normal business operations. </v>
      </c>
    </row>
    <row r="4" spans="1:3" s="29" customFormat="1" x14ac:dyDescent="0.25">
      <c r="A4" s="52"/>
      <c r="B4" s="53">
        <v>44105</v>
      </c>
      <c r="C4" s="54" t="str">
        <f>VLOOKUP(A2,'October 2020'!$F$3:$G$12,2,FALSE)</f>
        <v xml:space="preserve">We are remaining cautiously positive and resuming normal business operations. </v>
      </c>
    </row>
    <row r="5" spans="1:3" s="29" customFormat="1" x14ac:dyDescent="0.25">
      <c r="A5" s="52"/>
      <c r="B5" s="53">
        <v>44136</v>
      </c>
      <c r="C5" s="54" t="str">
        <f>VLOOKUP(A2,'November 2020'!$F$3:$G$12,2,FALSE)</f>
        <v xml:space="preserve">Business activity is inconsistent. Businesses that reopened are closing for a second time, leading to interruptions in the supply chain. </v>
      </c>
    </row>
    <row r="6" spans="1:3" s="29" customFormat="1" x14ac:dyDescent="0.25">
      <c r="A6" s="52"/>
      <c r="B6" s="53">
        <v>44166</v>
      </c>
      <c r="C6" s="54" t="e">
        <f>VLOOKUP(A2,'December 2020'!$F$3:$G$11,2,FALSE)</f>
        <v>#N/A</v>
      </c>
    </row>
    <row r="7" spans="1:3" s="29" customFormat="1" x14ac:dyDescent="0.25">
      <c r="A7" s="52"/>
      <c r="B7" s="53">
        <v>44197</v>
      </c>
      <c r="C7" s="54" t="e">
        <f>VLOOKUP(A2,'January 2021'!$F$3:$G$14,2,FALSE)</f>
        <v>#N/A</v>
      </c>
    </row>
    <row r="8" spans="1:3" s="29" customFormat="1" ht="30" x14ac:dyDescent="0.25">
      <c r="A8" s="52"/>
      <c r="B8" s="53">
        <v>44228</v>
      </c>
      <c r="C8" s="54" t="str">
        <f>VLOOKUP(A2,'February 2021'!$F$4:$G$15,2,FALSE)</f>
        <v xml:space="preserve">Our company has an overall positive outlook, with new COVID-19 cases trending down nationally and vaccine distribution coming online. However, possible changes to the regulatory environment for oil and gas is a looming negative influence. </v>
      </c>
    </row>
    <row r="9" spans="1:3" s="29" customFormat="1" x14ac:dyDescent="0.25">
      <c r="A9" s="52"/>
      <c r="B9" s="53">
        <v>44256</v>
      </c>
      <c r="C9" s="54" t="e">
        <f>VLOOKUP(A2,'March 2021'!$F$2:$G$13,2,FALSE)</f>
        <v>#N/A</v>
      </c>
    </row>
    <row r="10" spans="1:3" s="29" customFormat="1" x14ac:dyDescent="0.25">
      <c r="A10" s="52"/>
      <c r="B10" s="53">
        <v>44287</v>
      </c>
      <c r="C10" s="54" t="e">
        <f>VLOOKUP(A2,'April 2021'!$F$2:$G$13,2,FALSE)</f>
        <v>#N/A</v>
      </c>
    </row>
    <row r="11" spans="1:3" s="29" customFormat="1" x14ac:dyDescent="0.25">
      <c r="A11" s="52"/>
      <c r="B11" s="53">
        <v>44317</v>
      </c>
      <c r="C11" s="54" t="str">
        <f>VLOOKUP(A2,'May 2021'!$F$2:$G$13,2,FALSE)</f>
        <v xml:space="preserve">(We are) seeing cost increases and long lead times with steel and steel containers. Worker shortages, temp labor and the like. </v>
      </c>
    </row>
    <row r="12" spans="1:3" s="29" customFormat="1" x14ac:dyDescent="0.25">
      <c r="A12" s="52"/>
      <c r="B12" s="53">
        <v>44348</v>
      </c>
      <c r="C12" s="54" t="e">
        <f>VLOOKUP(A2,'June 2021 '!$F$2:$G$12,2,FALSE)</f>
        <v>#N/A</v>
      </c>
    </row>
    <row r="13" spans="1:3" s="29" customFormat="1" ht="30" x14ac:dyDescent="0.25">
      <c r="A13" s="52"/>
      <c r="B13" s="53">
        <v>44378</v>
      </c>
      <c r="C13" s="54" t="str">
        <f>VLOOKUP(A2,'July 2021'!$F$8:$G$17,2,FALSE)</f>
        <v xml:space="preserve">Fuel prices are coming back down a bit. Labor shortage continues for drivers and general labor work. We have increased pay for many positions, but the shortage continues. </v>
      </c>
    </row>
    <row r="14" spans="1:3" s="29" customFormat="1" x14ac:dyDescent="0.25">
      <c r="A14" s="52"/>
      <c r="B14" s="53">
        <v>44409</v>
      </c>
      <c r="C14" s="54" t="str">
        <f>VLOOKUP(A2,'August 2021'!$F$2:$G$14,2,FALSE)</f>
        <v xml:space="preserve">Temporary labor continues to be in short supply. Transportation costs are inflating prices on all products. </v>
      </c>
    </row>
    <row r="15" spans="1:3" s="29" customFormat="1" x14ac:dyDescent="0.25">
      <c r="A15" s="52"/>
      <c r="B15" s="53">
        <v>44440</v>
      </c>
      <c r="C15" s="54" t="str">
        <f>VLOOKUP(A2,'September 2021'!$F$3:$G$16,2,FALSE)</f>
        <v xml:space="preserve">Both domestic and international logistics are increasing lead times about six weeks for ocean freight and two weeks for domestic freight. </v>
      </c>
    </row>
    <row r="16" spans="1:3" s="29" customFormat="1" ht="30" x14ac:dyDescent="0.25">
      <c r="A16" s="52"/>
      <c r="B16" s="53">
        <v>44470</v>
      </c>
      <c r="C16" s="54" t="str">
        <f>VLOOKUP(A2,'October 2021'!$F$3:$G$13,2,FALSE)</f>
        <v xml:space="preserve">While new opportunities continue to present themselves, we are turning work away due to delayed shipments from suppliers and the general lack of new workers. </v>
      </c>
    </row>
    <row r="17" spans="1:3" s="29" customFormat="1" ht="45" x14ac:dyDescent="0.25">
      <c r="A17" s="52"/>
      <c r="B17" s="53">
        <v>44501</v>
      </c>
      <c r="C17" s="54" t="str">
        <f>VLOOKUP(A2,'November 2021'!$F$3:$G$14,2,FALSE)</f>
        <v xml:space="preserve">Suppliers continue to report that labor shortages are leading to production issues and delays. In some areas, sufficient raw materials and capacity exist, but labor is the gating factor. Continued inflationary pressures driven by the cost of fuel, shipping capacity constraints, and imbalances in supply and demand are impacting a broad spectrum of products. </v>
      </c>
    </row>
    <row r="18" spans="1:3" s="29" customFormat="1" x14ac:dyDescent="0.25">
      <c r="A18" s="52"/>
      <c r="B18" s="53">
        <v>44531</v>
      </c>
      <c r="C18" s="54" t="e">
        <f>VLOOKUP(A2,'December 2021'!$F$2:$G$12,2,FALSE)</f>
        <v>#N/A</v>
      </c>
    </row>
    <row r="19" spans="1:3" s="29" customFormat="1" x14ac:dyDescent="0.25">
      <c r="A19" s="52"/>
      <c r="B19" s="53">
        <v>44562</v>
      </c>
      <c r="C19" s="54" t="e">
        <f>VLOOKUP(A2,'January 2022'!$F$3:$G$13,2,FALSE)</f>
        <v>#N/A</v>
      </c>
    </row>
    <row r="20" spans="1:3" s="29" customFormat="1" x14ac:dyDescent="0.25">
      <c r="A20" s="52"/>
      <c r="B20" s="53">
        <v>44593</v>
      </c>
      <c r="C20" s="54" t="e">
        <f>VLOOKUP(A2,'February 2022'!$F$4:$G$13,2,FALSE)</f>
        <v>#N/A</v>
      </c>
    </row>
    <row r="21" spans="1:3" s="29" customFormat="1" ht="30" x14ac:dyDescent="0.25">
      <c r="A21" s="52"/>
      <c r="B21" s="53">
        <v>44621</v>
      </c>
      <c r="C21" s="54" t="str">
        <f>VLOOKUP(A2,'March 2022'!$E$3:$F$13,2,FALSE)</f>
        <v xml:space="preserve">Concerns over inflation and rising energy prices are causing our company to take a cautious approach, especially related to planned capital expenditures. </v>
      </c>
    </row>
    <row r="22" spans="1:3" s="29" customFormat="1" x14ac:dyDescent="0.25">
      <c r="A22" s="52"/>
      <c r="B22" s="55"/>
      <c r="C22" s="55"/>
    </row>
    <row r="23" spans="1:3" s="29" customFormat="1" x14ac:dyDescent="0.25">
      <c r="A23" s="52"/>
      <c r="B23" s="55"/>
      <c r="C23" s="55"/>
    </row>
    <row r="24" spans="1:3" s="29" customFormat="1" x14ac:dyDescent="0.25">
      <c r="A24" s="52"/>
      <c r="B24" s="55"/>
      <c r="C24" s="55"/>
    </row>
    <row r="25" spans="1:3" s="29" customFormat="1" x14ac:dyDescent="0.25">
      <c r="A25" s="52"/>
      <c r="B25" s="55"/>
      <c r="C25" s="55"/>
    </row>
    <row r="26" spans="1:3" s="29" customFormat="1" x14ac:dyDescent="0.25">
      <c r="A26" s="52"/>
      <c r="B26" s="55"/>
      <c r="C26" s="55"/>
    </row>
    <row r="27" spans="1:3" s="29" customFormat="1" x14ac:dyDescent="0.25">
      <c r="A27" s="52"/>
      <c r="B27" s="55"/>
      <c r="C27" s="55"/>
    </row>
    <row r="28" spans="1:3" s="29" customFormat="1" x14ac:dyDescent="0.25">
      <c r="A28" s="52"/>
      <c r="B28" s="55"/>
      <c r="C28" s="55"/>
    </row>
    <row r="29" spans="1:3" s="29" customFormat="1" x14ac:dyDescent="0.25">
      <c r="A29" s="52"/>
      <c r="B29" s="55"/>
      <c r="C29" s="55"/>
    </row>
    <row r="30" spans="1:3" s="29" customFormat="1" x14ac:dyDescent="0.25">
      <c r="A30" s="52"/>
      <c r="B30" s="55"/>
      <c r="C30" s="55"/>
    </row>
    <row r="31" spans="1:3" s="29" customFormat="1" x14ac:dyDescent="0.25">
      <c r="A31" s="52"/>
      <c r="B31" s="55"/>
      <c r="C31" s="55"/>
    </row>
    <row r="32" spans="1:3" s="29" customFormat="1" x14ac:dyDescent="0.25">
      <c r="A32" s="52"/>
      <c r="B32" s="55"/>
      <c r="C32" s="55"/>
    </row>
    <row r="33" spans="1:3" x14ac:dyDescent="0.25">
      <c r="A33" s="56" t="s">
        <v>36</v>
      </c>
      <c r="B33" s="57">
        <v>44044</v>
      </c>
      <c r="C33" s="58" t="str">
        <f>VLOOKUP(A33,'August 2020'!$F$3:$G$12,2,FALSE)</f>
        <v xml:space="preserve">We are significantly down from the pre-COVID-19 level. While month-over-month business activity is picking up, the pace is very slow and very slight. </v>
      </c>
    </row>
    <row r="34" spans="1:3" s="29" customFormat="1" x14ac:dyDescent="0.25">
      <c r="A34" s="56"/>
      <c r="B34" s="57">
        <v>44075</v>
      </c>
      <c r="C34" s="58" t="str">
        <f>VLOOKUP(A33,'September 2020'!$F$3:$G$12,2,FALSE)</f>
        <v xml:space="preserve">Business continues to gain as people are travelling and businesses are opening up to consumers. </v>
      </c>
    </row>
    <row r="35" spans="1:3" s="29" customFormat="1" x14ac:dyDescent="0.25">
      <c r="A35" s="56"/>
      <c r="B35" s="57">
        <v>44105</v>
      </c>
      <c r="C35" s="58" t="str">
        <f>VLOOKUP(A33,'October 2020'!$F$3:$G$12,2,FALSE)</f>
        <v xml:space="preserve">Business continues to gain as people are travelling and businesses are opening up to consumers. </v>
      </c>
    </row>
    <row r="36" spans="1:3" s="29" customFormat="1" x14ac:dyDescent="0.25">
      <c r="A36" s="56"/>
      <c r="B36" s="57">
        <v>44136</v>
      </c>
      <c r="C36" s="58" t="e">
        <f>VLOOKUP(A33,'November 2020'!$F$3:$G$12,2,FALSE)</f>
        <v>#N/A</v>
      </c>
    </row>
    <row r="37" spans="1:3" s="29" customFormat="1" x14ac:dyDescent="0.25">
      <c r="A37" s="56"/>
      <c r="B37" s="57">
        <v>44166</v>
      </c>
      <c r="C37" s="58" t="str">
        <f>VLOOKUP(A33,'December 2020'!$F$3:$G$11,2,FALSE)</f>
        <v xml:space="preserve">We have seen a growing number of product shortages and increased lead times during the last quarter. </v>
      </c>
    </row>
    <row r="38" spans="1:3" s="29" customFormat="1" x14ac:dyDescent="0.25">
      <c r="A38" s="56"/>
      <c r="B38" s="57">
        <v>44197</v>
      </c>
      <c r="C38" s="58" t="str">
        <f>VLOOKUP(A33,'January 2021'!$F$3:$G$14,2,FALSE)</f>
        <v xml:space="preserve">Good start to the year; business has promising growth. Market conditions are still affected by logistics issues, both domestic and international. Also, prices for raw material prices and freight are increasing up, by 4 percent to 13 percent. </v>
      </c>
    </row>
    <row r="39" spans="1:3" s="29" customFormat="1" ht="30" x14ac:dyDescent="0.25">
      <c r="A39" s="56"/>
      <c r="B39" s="57">
        <v>44228</v>
      </c>
      <c r="C39" s="58" t="str">
        <f>VLOOKUP(A33,'February 2021'!$F$4:$G$15,2,FALSE)</f>
        <v xml:space="preserve">We are seeing an ongoing influx of price increases due to raw-material shortages, labor shortages, and transportation delays. </v>
      </c>
    </row>
    <row r="40" spans="1:3" s="29" customFormat="1" x14ac:dyDescent="0.25">
      <c r="A40" s="56"/>
      <c r="B40" s="57">
        <v>44256</v>
      </c>
      <c r="C40" s="58" t="str">
        <f>VLOOKUP(A33,'March 2021'!$F$2:$G$13,2,FALSE)</f>
        <v xml:space="preserve">“Overall, there are still delays in import shipments of goods, though [the situation has] slightly improved. The market forecast on ocean shipments and logistics is still the same for next quarter; improvements might be seen in Q3. COVID-19 issues continue to impact demand and supply across the globe, and the new stimulus aid is expected to help the economy and lead to an increase in retail spending over the next few months.” </v>
      </c>
    </row>
    <row r="41" spans="1:3" s="29" customFormat="1" x14ac:dyDescent="0.25">
      <c r="A41" s="56"/>
      <c r="B41" s="57">
        <v>44287</v>
      </c>
      <c r="C41" s="58" t="str">
        <f>VLOOKUP(A33,'April 2021'!$F$2:$G$13,2,FALSE)</f>
        <v xml:space="preserve">Business is very robust, but logistics and supply cannot keep up. </v>
      </c>
    </row>
    <row r="42" spans="1:3" s="29" customFormat="1" x14ac:dyDescent="0.25">
      <c r="A42" s="56"/>
      <c r="B42" s="57">
        <v>44317</v>
      </c>
      <c r="C42" s="58" t="str">
        <f>VLOOKUP(A33,'May 2021'!$F$2:$G$13,2,FALSE)</f>
        <v xml:space="preserve">Business is doing good, exceeding sales target, but we have challenging issues with (1) increases in raw-materials costs and freight rates, (2) huge freight delays from overseas and (3) continued U.S. port delays. The (COVID-19 surges) in India and Taiwan are also causing delays on product availability/shipments. </v>
      </c>
    </row>
    <row r="43" spans="1:3" s="29" customFormat="1" x14ac:dyDescent="0.25">
      <c r="A43" s="56"/>
      <c r="B43" s="57">
        <v>44348</v>
      </c>
      <c r="C43" s="58" t="str">
        <f>VLOOKUP(A33,'June 2021 '!$F$2:$G$12,2,FALSE)</f>
        <v xml:space="preserve">Overall business activity in the month has been strong. We are seeing increased orders and slight improvements in backlogs. The primary headwinds this month continue to be very expensive ocean freight rates, increasing business costs and increasing raw-materials costs. The top line is not outrunning expenses. </v>
      </c>
    </row>
    <row r="44" spans="1:3" s="29" customFormat="1" ht="30" x14ac:dyDescent="0.25">
      <c r="A44" s="56"/>
      <c r="B44" s="57">
        <v>44378</v>
      </c>
      <c r="C44" s="58" t="str">
        <f>VLOOKUP(A33,'July 2021'!$F$8:$G$17,2,FALSE)</f>
        <v xml:space="preserve">Ocean freight costs have created a negative impact to our business. The congestions at (the ports of) Long Beach/Los Angeles and Seattle have increased lead time by 15 days. Additional delays are occurring at the Chicago rail yard, (causing) two to three weeks of additional lead time. </v>
      </c>
    </row>
    <row r="45" spans="1:3" s="29" customFormat="1" x14ac:dyDescent="0.25">
      <c r="A45" s="56"/>
      <c r="B45" s="57">
        <v>44409</v>
      </c>
      <c r="C45" s="58" t="str">
        <f>VLOOKUP(A33,'August 2021'!$F$2:$G$14,2,FALSE)</f>
        <v xml:space="preserve">Steel shortages continue. Labor constraints at suppliers continue to push delivery dates out. Logistics issues (are also ongoing), as container space, truck drivers and the like remain difficult to obtain. </v>
      </c>
    </row>
    <row r="46" spans="1:3" s="29" customFormat="1" x14ac:dyDescent="0.25">
      <c r="A46" s="56"/>
      <c r="B46" s="57">
        <v>44440</v>
      </c>
      <c r="C46" s="58" t="str">
        <f>VLOOKUP(A33,'September 2021'!$F$3:$G$16,2,FALSE)</f>
        <v xml:space="preserve">Continued constrained supply of many key product groups. Also, inflationary pressures in most areas of the business keep driving costs higher. Inconsistent COVID-19 restrictions throughout the country are creating unstable business conditions that are concerning. However, business continues to be strong overall. </v>
      </c>
    </row>
    <row r="47" spans="1:3" s="29" customFormat="1" ht="30" x14ac:dyDescent="0.25">
      <c r="A47" s="56"/>
      <c r="B47" s="57">
        <v>44470</v>
      </c>
      <c r="C47" s="58" t="str">
        <f>VLOOKUP(A33,'October 2021'!$F$3:$G$13,2,FALSE)</f>
        <v xml:space="preserve">In general, we still have very strong business activity throughout our business channels. This is despite a very challenging business environment of increasing costs, a very difficult employee retention and hiring environment, and massive logistical backlogs. These issues have forced us to lower our top-line sales forecast slightly, due to a lack of supply and throughput challenges. Where possible, we are looking for substitute products to sell. We are still projecting to be well above last year for the month. </v>
      </c>
    </row>
    <row r="48" spans="1:3" s="29" customFormat="1" ht="45" x14ac:dyDescent="0.25">
      <c r="A48" s="56"/>
      <c r="B48" s="57">
        <v>44501</v>
      </c>
      <c r="C48" s="58" t="str">
        <f>VLOOKUP(A33,'November 2021'!$F$3:$G$14,2,FALSE)</f>
        <v xml:space="preserve">Inflation and supply chain issues have caused cost increases and stockouts, but sales continue to be strong, with a positive outlook for the next quarter and beyond. </v>
      </c>
    </row>
    <row r="49" spans="1:3" s="29" customFormat="1" x14ac:dyDescent="0.25">
      <c r="A49" s="56"/>
      <c r="B49" s="57">
        <v>44531</v>
      </c>
      <c r="C49" s="58" t="str">
        <f>VLOOKUP(A33,'December 2021'!$F$2:$G$12,2,FALSE)</f>
        <v xml:space="preserve">Demand is good, but supply chain issues continue to get worse. Trucking availability is worsening. Labor shortages are causing issues. We could do much more business if we had more people and access to more products. </v>
      </c>
    </row>
    <row r="50" spans="1:3" s="29" customFormat="1" x14ac:dyDescent="0.25">
      <c r="A50" s="56"/>
      <c r="B50" s="57">
        <v>44562</v>
      </c>
      <c r="C50" s="58" t="str">
        <f>VLOOKUP(A33,'January 2022'!$F$3:$G$13,2,FALSE)</f>
        <v xml:space="preserve">“Constrained supplies of many key product groups continue. Inflation worsening; however, sales and profitability continue to be strong.” </v>
      </c>
    </row>
    <row r="51" spans="1:3" s="29" customFormat="1" x14ac:dyDescent="0.25">
      <c r="A51" s="56"/>
      <c r="B51" s="57">
        <v>44593</v>
      </c>
      <c r="C51" s="58" t="e">
        <f>VLOOKUP(A33,'February 2022'!$F$4:$G$13,2,FALSE)</f>
        <v>#N/A</v>
      </c>
    </row>
    <row r="52" spans="1:3" s="29" customFormat="1" ht="30" x14ac:dyDescent="0.25">
      <c r="A52" s="56"/>
      <c r="B52" s="57">
        <v>44621</v>
      </c>
      <c r="C52" s="58" t="str">
        <f>VLOOKUP(A33,'March 2022'!$E$3:$F$13,2,FALSE)</f>
        <v xml:space="preserve">Constrained supply of many key product groups continues. Inflation worsening. Overall sales and profitability continue to be strong. </v>
      </c>
    </row>
    <row r="53" spans="1:3" s="29" customFormat="1" x14ac:dyDescent="0.25">
      <c r="A53" s="56"/>
      <c r="B53" s="59"/>
      <c r="C53" s="59"/>
    </row>
    <row r="54" spans="1:3" s="29" customFormat="1" x14ac:dyDescent="0.25">
      <c r="A54" s="56"/>
      <c r="B54" s="59"/>
      <c r="C54" s="59"/>
    </row>
    <row r="55" spans="1:3" s="29" customFormat="1" x14ac:dyDescent="0.25">
      <c r="A55" s="56"/>
      <c r="B55" s="59"/>
      <c r="C55" s="59"/>
    </row>
    <row r="56" spans="1:3" s="29" customFormat="1" x14ac:dyDescent="0.25">
      <c r="A56" s="56"/>
      <c r="B56" s="59"/>
      <c r="C56" s="59"/>
    </row>
    <row r="57" spans="1:3" s="29" customFormat="1" x14ac:dyDescent="0.25">
      <c r="A57" s="56"/>
      <c r="B57" s="59"/>
      <c r="C57" s="59"/>
    </row>
    <row r="58" spans="1:3" s="29" customFormat="1" x14ac:dyDescent="0.25">
      <c r="A58" s="56"/>
      <c r="B58" s="59"/>
      <c r="C58" s="59"/>
    </row>
    <row r="59" spans="1:3" s="29" customFormat="1" x14ac:dyDescent="0.25">
      <c r="A59" s="56"/>
      <c r="B59" s="59"/>
      <c r="C59" s="59"/>
    </row>
    <row r="60" spans="1:3" s="29" customFormat="1" x14ac:dyDescent="0.25">
      <c r="A60" s="56"/>
      <c r="B60" s="59"/>
      <c r="C60" s="59"/>
    </row>
    <row r="61" spans="1:3" s="29" customFormat="1" x14ac:dyDescent="0.25">
      <c r="A61" s="56"/>
      <c r="B61" s="59"/>
      <c r="C61" s="59"/>
    </row>
    <row r="62" spans="1:3" s="29" customFormat="1" x14ac:dyDescent="0.25">
      <c r="A62" s="56"/>
      <c r="B62" s="59"/>
      <c r="C62" s="59"/>
    </row>
    <row r="63" spans="1:3" s="29" customFormat="1" x14ac:dyDescent="0.25">
      <c r="A63" s="56"/>
      <c r="B63" s="59"/>
      <c r="C63" s="59"/>
    </row>
    <row r="64" spans="1:3" s="29" customFormat="1" x14ac:dyDescent="0.25">
      <c r="A64" s="56"/>
      <c r="B64" s="59"/>
      <c r="C64" s="59"/>
    </row>
    <row r="65" spans="1:3" x14ac:dyDescent="0.25">
      <c r="A65" s="60" t="s">
        <v>25</v>
      </c>
      <c r="B65" s="53">
        <v>44044</v>
      </c>
      <c r="C65" s="54" t="str">
        <f>VLOOKUP(A65,'August 2020'!$F$3:$G$12,2,FALSE)</f>
        <v xml:space="preserve">The coronavirus continues to be a challenge for the business as we pivot and adapt to these new conditions. Sales have been affected in the retail space with less foot traffic in our brick-and-mortar stores, while e-commerce sales have increased significantly. We are starting to see sales level out in this new environment from the pandemic. </v>
      </c>
    </row>
    <row r="66" spans="1:3" s="29" customFormat="1" x14ac:dyDescent="0.25">
      <c r="A66" s="60"/>
      <c r="B66" s="53">
        <v>44075</v>
      </c>
      <c r="C66" s="54" t="str">
        <f>VLOOKUP(A65,'September 2020'!$F$3:$G$12,2,FALSE)</f>
        <v xml:space="preserve">We continue to be cautiously optimistic that the rebound in business that began in July continues to sustain. </v>
      </c>
    </row>
    <row r="67" spans="1:3" s="29" customFormat="1" x14ac:dyDescent="0.25">
      <c r="A67" s="60"/>
      <c r="B67" s="53">
        <v>44105</v>
      </c>
      <c r="C67" s="54" t="str">
        <f>VLOOKUP(A65,'October 2020'!$F$3:$G$12,2,FALSE)</f>
        <v xml:space="preserve">We continue to be cautiously optimistic that the rebound in business that began in July continues to sustain. </v>
      </c>
    </row>
    <row r="68" spans="1:3" s="29" customFormat="1" x14ac:dyDescent="0.25">
      <c r="A68" s="60"/>
      <c r="B68" s="53">
        <v>44136</v>
      </c>
      <c r="C68" s="54" t="str">
        <f>VLOOKUP(A65,'November 2020'!$F$3:$G$12,2,FALSE)</f>
        <v xml:space="preserve">Remote working has continued to impact our ability to obtain standard equipment such as iPads, printers and PCs for our stores and employees, who require these items to operate our approximately 800 retail locations. Most items are on a 30 to 60 day back order from our suppliers. </v>
      </c>
    </row>
    <row r="69" spans="1:3" s="29" customFormat="1" x14ac:dyDescent="0.25">
      <c r="A69" s="60"/>
      <c r="B69" s="53">
        <v>44166</v>
      </c>
      <c r="C69" s="54" t="e">
        <f>VLOOKUP(A65,'December 2020'!$F$3:$G$11,2,FALSE)</f>
        <v>#N/A</v>
      </c>
    </row>
    <row r="70" spans="1:3" s="29" customFormat="1" ht="30" x14ac:dyDescent="0.25">
      <c r="A70" s="60"/>
      <c r="B70" s="53">
        <v>44197</v>
      </c>
      <c r="C70" s="54" t="str">
        <f>VLOOKUP(A65,'January 2021'!$F$3:$G$14,2,FALSE)</f>
        <v xml:space="preserve">Business outlook for 2021 looks better. Companies are optimistic that conditions will start improving by the end of the second quarter. </v>
      </c>
    </row>
    <row r="71" spans="1:3" s="29" customFormat="1" x14ac:dyDescent="0.25">
      <c r="A71" s="60"/>
      <c r="B71" s="53">
        <v>44228</v>
      </c>
      <c r="C71" s="54" t="str">
        <f>VLOOKUP(A65,'February 2021'!$F$4:$G$15,2,FALSE)</f>
        <v xml:space="preserve">Supplier deliveries continue to be an issue as well as lead-times. Additionally, price increases are occurring with more frequency for products containing raw materials such as copper and steel. </v>
      </c>
    </row>
    <row r="72" spans="1:3" s="29" customFormat="1" ht="45" x14ac:dyDescent="0.25">
      <c r="A72" s="60"/>
      <c r="B72" s="53">
        <v>44256</v>
      </c>
      <c r="C72" s="54" t="str">
        <f>VLOOKUP(A65,'March 2021'!$F$2:$G$13,2,FALSE)</f>
        <v xml:space="preserve">“Outlook remains cautiously optimistic for the second half of the year as businesses continue to open up and projects come online.” </v>
      </c>
    </row>
    <row r="73" spans="1:3" s="29" customFormat="1" x14ac:dyDescent="0.25">
      <c r="A73" s="60"/>
      <c r="B73" s="53">
        <v>44287</v>
      </c>
      <c r="C73" s="54" t="e">
        <f>VLOOKUP(A65,'April 2021'!$F$2:$G$13,2,FALSE)</f>
        <v>#N/A</v>
      </c>
    </row>
    <row r="74" spans="1:3" s="29" customFormat="1" ht="45" x14ac:dyDescent="0.25">
      <c r="A74" s="60"/>
      <c r="B74" s="53">
        <v>44317</v>
      </c>
      <c r="C74" s="54" t="str">
        <f>VLOOKUP(A65,'May 2021'!$F$2:$G$13,2,FALSE)</f>
        <v xml:space="preserve">Very concerned about the rapid and continuing price escalations for any products with copper, steel, and polyvinyl chloride (PVC). Production issues and lead-time extensions are not improving. </v>
      </c>
    </row>
    <row r="75" spans="1:3" s="29" customFormat="1" ht="45" x14ac:dyDescent="0.25">
      <c r="A75" s="60"/>
      <c r="B75" s="53">
        <v>44348</v>
      </c>
      <c r="C75" s="54" t="str">
        <f>VLOOKUP(A65,'June 2021 '!$F$2:$G$12,2,FALSE)</f>
        <v xml:space="preserve">Business conditions continue to rebound; however, like everywhere, the challenges in the supply chain are numerous. We continue to see cost increases, delayed shipments, pushed-out lead times, and no clarity as to when predictive balance returns to this market. </v>
      </c>
    </row>
    <row r="76" spans="1:3" s="29" customFormat="1" ht="30" x14ac:dyDescent="0.25">
      <c r="A76" s="60"/>
      <c r="B76" s="53">
        <v>44378</v>
      </c>
      <c r="C76" s="54" t="str">
        <f>VLOOKUP(A65,'July 2021'!$F$8:$G$17,2,FALSE)</f>
        <v xml:space="preserve">Continued shortages in computer equipment (laptops and PCs) are challenging for fulfillment needs. Corporate travel has resumed, but we're seeing many flight cancellations and car-rental shortages. Heating, ventilation and air conditioning (HVAC) repairs also impacted by longer than normal lead times for replacement units. </v>
      </c>
    </row>
    <row r="77" spans="1:3" s="29" customFormat="1" ht="30" x14ac:dyDescent="0.25">
      <c r="A77" s="60"/>
      <c r="B77" s="53">
        <v>44409</v>
      </c>
      <c r="C77" s="54" t="str">
        <f>VLOOKUP(A65,'August 2021'!$F$2:$G$14,2,FALSE)</f>
        <v xml:space="preserve">A limited supply of critical items has caused us to expand our line of products and our supplier base. Services like ash cleaning, trash removal, internet installations and the like are experiencing staffing shortages, causing us to find alternative sources or adjust schedules. Travel has increased 60 percent since February for internal employees. </v>
      </c>
    </row>
    <row r="78" spans="1:3" s="29" customFormat="1" ht="45" x14ac:dyDescent="0.25">
      <c r="A78" s="60"/>
      <c r="B78" s="53">
        <v>44440</v>
      </c>
      <c r="C78" s="54" t="str">
        <f>VLOOKUP(A65,'September 2021'!$F$3:$G$16,2,FALSE)</f>
        <v xml:space="preserve">Still experiencing very strong demand. Supply chain is still a challenge. </v>
      </c>
    </row>
    <row r="79" spans="1:3" s="29" customFormat="1" ht="60" x14ac:dyDescent="0.25">
      <c r="A79" s="60"/>
      <c r="B79" s="53">
        <v>44470</v>
      </c>
      <c r="C79" s="54" t="e">
        <f>VLOOKUP(A65,'October 2021'!$F$3:$G$13,2,FALSE)</f>
        <v>#N/A</v>
      </c>
    </row>
    <row r="80" spans="1:3" s="29" customFormat="1" ht="30" x14ac:dyDescent="0.25">
      <c r="A80" s="60"/>
      <c r="B80" s="53">
        <v>44501</v>
      </c>
      <c r="C80" s="54" t="str">
        <f>VLOOKUP(A65,'November 2021'!$F$3:$G$14,2,FALSE)</f>
        <v xml:space="preserve">Continuing struggle with transportation capacity. </v>
      </c>
    </row>
    <row r="81" spans="1:3" s="29" customFormat="1" ht="30" x14ac:dyDescent="0.25">
      <c r="A81" s="60"/>
      <c r="B81" s="53">
        <v>44531</v>
      </c>
      <c r="C81" s="54" t="str">
        <f>VLOOKUP(A65,'December 2021'!$F$2:$G$12,2,FALSE)</f>
        <v xml:space="preserve">Long lead times, transportation bottlenecks, delivery inconsistency and price increases continue to affect a range of products. </v>
      </c>
    </row>
    <row r="82" spans="1:3" s="29" customFormat="1" x14ac:dyDescent="0.25">
      <c r="A82" s="60"/>
      <c r="B82" s="53">
        <v>44562</v>
      </c>
      <c r="C82" s="54" t="str">
        <f>VLOOKUP(A65,'January 2022'!$F$3:$G$13,2,FALSE)</f>
        <v xml:space="preserve">“Business outlook remains cautiously optimistic, although uncertainty remains concerning the impact of omicron, inflation and the lack of major improvements to supply chain issues.” </v>
      </c>
    </row>
    <row r="83" spans="1:3" s="29" customFormat="1" x14ac:dyDescent="0.25">
      <c r="A83" s="60"/>
      <c r="B83" s="53">
        <v>44593</v>
      </c>
      <c r="C83" s="54" t="e">
        <f>VLOOKUP(A65,'February 2022'!$F$4:$G$13,2,FALSE)</f>
        <v>#N/A</v>
      </c>
    </row>
    <row r="84" spans="1:3" s="29" customFormat="1" x14ac:dyDescent="0.25">
      <c r="A84" s="60"/>
      <c r="B84" s="53">
        <v>44621</v>
      </c>
      <c r="C84" s="54" t="str">
        <f>VLOOKUP(A65,'March 2022'!$E$3:$F$13,2,FALSE)</f>
        <v xml:space="preserve">Global supply chain issues continue to disrupt chip supply, which is suppressing production of new vehicles. </v>
      </c>
    </row>
    <row r="85" spans="1:3" s="29" customFormat="1" x14ac:dyDescent="0.25">
      <c r="A85" s="60"/>
      <c r="B85" s="55"/>
      <c r="C85" s="55"/>
    </row>
    <row r="86" spans="1:3" s="29" customFormat="1" x14ac:dyDescent="0.25">
      <c r="A86" s="60"/>
      <c r="B86" s="55"/>
      <c r="C86" s="55"/>
    </row>
    <row r="87" spans="1:3" s="29" customFormat="1" x14ac:dyDescent="0.25">
      <c r="A87" s="60"/>
      <c r="B87" s="55"/>
      <c r="C87" s="55"/>
    </row>
    <row r="88" spans="1:3" s="29" customFormat="1" x14ac:dyDescent="0.25">
      <c r="A88" s="60"/>
      <c r="B88" s="55"/>
      <c r="C88" s="55"/>
    </row>
    <row r="89" spans="1:3" s="29" customFormat="1" x14ac:dyDescent="0.25">
      <c r="A89" s="60"/>
      <c r="B89" s="55"/>
      <c r="C89" s="55"/>
    </row>
    <row r="90" spans="1:3" s="29" customFormat="1" x14ac:dyDescent="0.25">
      <c r="A90" s="60"/>
      <c r="B90" s="55"/>
      <c r="C90" s="55"/>
    </row>
    <row r="91" spans="1:3" s="29" customFormat="1" x14ac:dyDescent="0.25">
      <c r="A91" s="60"/>
      <c r="B91" s="55"/>
      <c r="C91" s="55"/>
    </row>
    <row r="92" spans="1:3" s="29" customFormat="1" x14ac:dyDescent="0.25">
      <c r="A92" s="60"/>
      <c r="B92" s="55"/>
      <c r="C92" s="55"/>
    </row>
    <row r="93" spans="1:3" s="29" customFormat="1" x14ac:dyDescent="0.25">
      <c r="A93" s="60"/>
      <c r="B93" s="55"/>
      <c r="C93" s="55"/>
    </row>
    <row r="94" spans="1:3" s="29" customFormat="1" x14ac:dyDescent="0.25">
      <c r="A94" s="60"/>
      <c r="B94" s="55"/>
      <c r="C94" s="55"/>
    </row>
    <row r="95" spans="1:3" s="29" customFormat="1" x14ac:dyDescent="0.25">
      <c r="A95" s="60"/>
      <c r="B95" s="55"/>
      <c r="C95" s="55"/>
    </row>
    <row r="96" spans="1:3" ht="45" x14ac:dyDescent="0.25">
      <c r="A96" s="56" t="s">
        <v>43</v>
      </c>
      <c r="B96" s="57">
        <v>44044</v>
      </c>
      <c r="C96" s="58" t="str">
        <f>VLOOKUP(A96,'August 2020'!$F$3:$G$12,2,FALSE)</f>
        <v xml:space="preserve">Continuing to build our ancillary clinic volume as well as elective surgical cases since ceasing these services from mid-March through May 1. </v>
      </c>
    </row>
    <row r="97" spans="1:3" s="29" customFormat="1" x14ac:dyDescent="0.25">
      <c r="A97" s="56"/>
      <c r="B97" s="57">
        <v>44075</v>
      </c>
      <c r="C97" s="58" t="str">
        <f>VLOOKUP(A96,'September 2020'!$F$3:$G$12,2,FALSE)</f>
        <v xml:space="preserve">The new normal COVID-19 environment is causing uncertainty, but we've seen an increase in business that is close to pre-COVID-19 volumes for procedures. </v>
      </c>
    </row>
    <row r="98" spans="1:3" s="29" customFormat="1" x14ac:dyDescent="0.25">
      <c r="A98" s="56"/>
      <c r="B98" s="57">
        <v>44105</v>
      </c>
      <c r="C98" s="58" t="str">
        <f>VLOOKUP(A96,'October 2020'!$F$3:$G$12,2,FALSE)</f>
        <v xml:space="preserve">The new normal COVID-19 environment is causing uncertainty, but we've seen an increase in business that is close to pre-COVID-19 volumes for procedures. </v>
      </c>
    </row>
    <row r="99" spans="1:3" s="29" customFormat="1" ht="30" x14ac:dyDescent="0.25">
      <c r="A99" s="56"/>
      <c r="B99" s="57">
        <v>44136</v>
      </c>
      <c r="C99" s="58" t="str">
        <f>VLOOKUP(A96,'November 2020'!$F$3:$G$12,2,FALSE)</f>
        <v xml:space="preserve">Continue to experience difficulty in procuring PPE due to rising COVID-19 numbers. </v>
      </c>
    </row>
    <row r="100" spans="1:3" s="29" customFormat="1" x14ac:dyDescent="0.25">
      <c r="A100" s="56"/>
      <c r="B100" s="57">
        <v>44166</v>
      </c>
      <c r="C100" s="58" t="str">
        <f>VLOOKUP(A96,'December 2020'!$F$3:$G$11,2,FALSE)</f>
        <v xml:space="preserve">COVID-19 continues to be an impediment to normalized business operations, and the pandemic is not abating — only worsening as [we] get into the winter months. Stocks of personal protective equipment [PPE] are adequate but not sufficient for most categories, with the exception of nitrile exam gloves, which are in extremely short supply internationally. Our hospital system achieved 94- percent capacity in our intensive care units and continued to hover around that number with new admissions, fatalities and discharges on a daily basis. This situation continues to impede normal revenue-generating surgical volumes. </v>
      </c>
    </row>
    <row r="101" spans="1:3" s="29" customFormat="1" x14ac:dyDescent="0.25">
      <c r="A101" s="56"/>
      <c r="B101" s="57">
        <v>44197</v>
      </c>
      <c r="C101" s="58" t="str">
        <f>VLOOKUP(A96,'January 2021'!$F$3:$G$14,2,FALSE)</f>
        <v xml:space="preserve">Increased number of COVID-19 patients has forced the cancellation of elective surgeries. Bed capacity limited. </v>
      </c>
    </row>
    <row r="102" spans="1:3" s="29" customFormat="1" ht="30" x14ac:dyDescent="0.25">
      <c r="A102" s="56"/>
      <c r="B102" s="57">
        <v>44228</v>
      </c>
      <c r="C102" s="58" t="str">
        <f>VLOOKUP(A96,'February 2021'!$F$4:$G$15,2,FALSE)</f>
        <v xml:space="preserve">Exponential demand for critical supplies due to [the] pandemic is driving distributer allocations and forcing alternative sourcing. </v>
      </c>
    </row>
    <row r="103" spans="1:3" s="29" customFormat="1" x14ac:dyDescent="0.25">
      <c r="A103" s="56"/>
      <c r="B103" s="57">
        <v>44256</v>
      </c>
      <c r="C103" s="58" t="str">
        <f>VLOOKUP(A96,'March 2021'!$F$2:$G$13,2,FALSE)</f>
        <v xml:space="preserve">“Vaccination rates are rising, and coronavirus [COVID-19] infections are falling in the region, leading to optimistic outlooks and forecasts for increased business activity. Patient census numbers are trending upward, mainly due to a better ratio of patients seeking elective procedures versus COVID-19 hospitalizations. However, revenues are still soft, indicating that a full rebound in business activity has not yet been realized.” </v>
      </c>
    </row>
    <row r="104" spans="1:3" s="29" customFormat="1" x14ac:dyDescent="0.25">
      <c r="A104" s="56"/>
      <c r="B104" s="57">
        <v>44287</v>
      </c>
      <c r="C104" s="58" t="str">
        <f>VLOOKUP(A96,'April 2021'!$F$2:$G$13,2,FALSE)</f>
        <v xml:space="preserve">Elective surgeries coming back to pre-COVID-19 rates. Patient census continues to drop, as it does this time of year. </v>
      </c>
    </row>
    <row r="105" spans="1:3" s="29" customFormat="1" ht="30" x14ac:dyDescent="0.25">
      <c r="A105" s="56"/>
      <c r="B105" s="57">
        <v>44317</v>
      </c>
      <c r="C105" s="58" t="str">
        <f>VLOOKUP(A96,'May 2021'!$F$2:$G$13,2,FALSE)</f>
        <v xml:space="preserve">As the vaccination rate continues to climb and the coronavirus (COVID-19) infection rate continues to plummet, business conditions are steadily improving: Strong revenue performance is returning, and outlooks are improving. Some supply categories remain constrained (nitrile gloves, sterile wrap and the like), remain constrained yet are somewhat manageable, limiting the impact to daily operations. </v>
      </c>
    </row>
    <row r="106" spans="1:3" s="29" customFormat="1" ht="30" x14ac:dyDescent="0.25">
      <c r="A106" s="56"/>
      <c r="B106" s="57">
        <v>44348</v>
      </c>
      <c r="C106" s="58" t="str">
        <f>VLOOKUP(A96,'June 2021 '!$F$2:$G$12,2,FALSE)</f>
        <v xml:space="preserve">We continue to see a high (patient) census as COVID-19 restrictions are eased, but the volumes are not pandemic related. There are more patients now because they wouldn't or couldn't get treatment because of restrictions on (non-COVID-19) care or personal cautiousness. </v>
      </c>
    </row>
    <row r="107" spans="1:3" s="29" customFormat="1" ht="45" x14ac:dyDescent="0.25">
      <c r="A107" s="56"/>
      <c r="B107" s="57">
        <v>44378</v>
      </c>
      <c r="C107" s="58" t="str">
        <f>VLOOKUP(A96,'July 2021'!$F$8:$G$17,2,FALSE)</f>
        <v xml:space="preserve">Surgical volumes continue to increase, reflecting pent-up demand for services. However, the COVID-19 delta variant is impeding our ability to manage increased surgical volumes due to increased COVID-19 case admissions. Consistency of supply in a couple of categories (coagulation tubes and nitrile gloves) remains challenging, though moderately manageable. </v>
      </c>
    </row>
    <row r="108" spans="1:3" s="29" customFormat="1" ht="45" x14ac:dyDescent="0.25">
      <c r="A108" s="56"/>
      <c r="B108" s="57">
        <v>44409</v>
      </c>
      <c r="C108" s="58" t="str">
        <f>VLOOKUP(A96,'August 2021'!$F$2:$G$14,2,FALSE)</f>
        <v xml:space="preserve">Inpatient- and outpatient-services and ancillary-services volumes continue to be very high. Driven by increased admissions and increased lengths of stay. Pharmaceutical volume is high as well, which relates to patient volume in our cancer center. Surgical-case volumes remain strong, as do associated physician services. Emergency room visits exceeded budgeted levels by 14.2 percent. This volume resulted in an increase in diagnostic services, specifically CT scans. In addition, we are seeing an increase in COVID-19 patients again. </v>
      </c>
    </row>
    <row r="109" spans="1:3" s="29" customFormat="1" x14ac:dyDescent="0.25">
      <c r="A109" s="56"/>
      <c r="B109" s="57">
        <v>44440</v>
      </c>
      <c r="C109" s="58" t="str">
        <f>VLOOKUP(A96,'September 2021'!$F$3:$G$16,2,FALSE)</f>
        <v xml:space="preserve">Retaining clinical and temporary staffing is critical at this time. With the Delta variant's spread, we continue to see increased (COVID-19) cases, but not as bad as January 2021. Vaccinations are clearly working. Most inpatient hospitalizations are of unvaccinated patients. The supply chain is still being impacted significantly by increased lead times for equipment and supplies. </v>
      </c>
    </row>
    <row r="110" spans="1:3" s="29" customFormat="1" x14ac:dyDescent="0.25">
      <c r="A110" s="56"/>
      <c r="B110" s="57">
        <v>44470</v>
      </c>
      <c r="C110" s="58" t="str">
        <f>VLOOKUP(A96,'October 2021'!$F$3:$G$13,2,FALSE)</f>
        <v xml:space="preserve">Gross revenue continues to be strong due to high patient volume and inpatient census. At the same time, staffing continues to be a challenge and is driving significant cost overruns. To ensure we have adequate staff to care for increased patient demand, we are reliant on higher levels of temporary staff and incentivized staffing programs. </v>
      </c>
    </row>
    <row r="111" spans="1:3" s="29" customFormat="1" x14ac:dyDescent="0.25">
      <c r="A111" s="56"/>
      <c r="B111" s="57">
        <v>44501</v>
      </c>
      <c r="C111" s="58" t="str">
        <f>VLOOKUP(A96,'November 2021'!$F$3:$G$14,2,FALSE)</f>
        <v xml:space="preserve">COVID-19 patients continue to impact census and procedures. Supplies continue to be difficult to obtain at times. </v>
      </c>
    </row>
    <row r="112" spans="1:3" s="29" customFormat="1" x14ac:dyDescent="0.25">
      <c r="A112" s="56"/>
      <c r="B112" s="57">
        <v>44531</v>
      </c>
      <c r="C112" s="58" t="str">
        <f>VLOOKUP(A96,'December 2021'!$F$2:$G$12,2,FALSE)</f>
        <v xml:space="preserve">There is widespread fatigue across the organization as COVID-19 hospitalizations have plateaued, but in the face of yet another variant (omicron), the winter forecast is not positive. Although hospitalizations have eased, demand for services is up, as is acuity of patients. Due to mainly logistical concerns, the supply chain remains turbulent and some supply shortages, including of Vacutainers, are hindering operations. Our organization is cautiously optimistic going into flu season. </v>
      </c>
    </row>
    <row r="113" spans="1:3" s="29" customFormat="1" ht="30" x14ac:dyDescent="0.25">
      <c r="A113" s="56"/>
      <c r="B113" s="57">
        <v>44562</v>
      </c>
      <c r="C113" s="58" t="str">
        <f>VLOOKUP(A96,'January 2022'!$F$3:$G$13,2,FALSE)</f>
        <v xml:space="preserve">“COVID-19 inpatient stays have surged in the past 30 days; however, this past week, the numbers have trended slightly down. Supply chain disruptions continue. Hiring of clinical and nonclinical staff continues to be very difficult due to high demand. Some staff are still working remotely." </v>
      </c>
    </row>
    <row r="114" spans="1:3" s="29" customFormat="1" x14ac:dyDescent="0.25">
      <c r="A114" s="56"/>
      <c r="B114" s="57">
        <v>44593</v>
      </c>
      <c r="C114" s="58" t="str">
        <f>VLOOKUP(A96,'February 2022'!$F$4:$G$13,2,FALSE)</f>
        <v xml:space="preserve">“As the COVID-19 surge starts to loosen its grip, we are planning to resume elective surgeries soon. Demand is still high, as these procedures were delayed while the surge was occurring.” </v>
      </c>
    </row>
    <row r="115" spans="1:3" s="29" customFormat="1" x14ac:dyDescent="0.25">
      <c r="A115" s="56"/>
      <c r="B115" s="57">
        <v>44621</v>
      </c>
      <c r="C115" s="58" t="str">
        <f>VLOOKUP(A96,'March 2022'!$E$3:$F$13,2,FALSE)</f>
        <v xml:space="preserve">Supply chain disruptions are still a problem due to reduced allocations and manufacturer back orders. Demand continues to outpace manufacturing capacity. </v>
      </c>
    </row>
    <row r="116" spans="1:3" s="29" customFormat="1" x14ac:dyDescent="0.25">
      <c r="A116" s="56"/>
      <c r="B116" s="59"/>
      <c r="C116" s="59"/>
    </row>
    <row r="117" spans="1:3" s="29" customFormat="1" x14ac:dyDescent="0.25">
      <c r="A117" s="56"/>
      <c r="B117" s="59"/>
      <c r="C117" s="59"/>
    </row>
    <row r="118" spans="1:3" s="29" customFormat="1" x14ac:dyDescent="0.25">
      <c r="A118" s="56"/>
      <c r="B118" s="59"/>
      <c r="C118" s="59"/>
    </row>
    <row r="119" spans="1:3" s="29" customFormat="1" x14ac:dyDescent="0.25">
      <c r="A119" s="56"/>
      <c r="B119" s="59"/>
      <c r="C119" s="59"/>
    </row>
    <row r="120" spans="1:3" s="29" customFormat="1" x14ac:dyDescent="0.25">
      <c r="A120" s="56"/>
      <c r="B120" s="59"/>
      <c r="C120" s="59"/>
    </row>
    <row r="121" spans="1:3" s="29" customFormat="1" x14ac:dyDescent="0.25">
      <c r="A121" s="56"/>
      <c r="B121" s="59"/>
      <c r="C121" s="59"/>
    </row>
    <row r="122" spans="1:3" s="29" customFormat="1" x14ac:dyDescent="0.25">
      <c r="A122" s="56"/>
      <c r="B122" s="59"/>
      <c r="C122" s="59"/>
    </row>
    <row r="123" spans="1:3" s="29" customFormat="1" x14ac:dyDescent="0.25">
      <c r="A123" s="56"/>
      <c r="B123" s="59"/>
      <c r="C123" s="59"/>
    </row>
    <row r="124" spans="1:3" s="29" customFormat="1" x14ac:dyDescent="0.25">
      <c r="A124" s="56"/>
      <c r="B124" s="59"/>
      <c r="C124" s="59"/>
    </row>
    <row r="125" spans="1:3" s="29" customFormat="1" x14ac:dyDescent="0.25">
      <c r="A125" s="56"/>
      <c r="B125" s="59"/>
      <c r="C125" s="59"/>
    </row>
    <row r="126" spans="1:3" s="29" customFormat="1" x14ac:dyDescent="0.25">
      <c r="A126" s="56"/>
      <c r="B126" s="59"/>
      <c r="C126" s="59"/>
    </row>
    <row r="127" spans="1:3" x14ac:dyDescent="0.25">
      <c r="A127" s="60" t="s">
        <v>38</v>
      </c>
      <c r="B127" s="53">
        <v>44044</v>
      </c>
      <c r="C127" s="54" t="e">
        <f>VLOOKUP(A127,'August 2020'!$F$3:$G$12,2,FALSE)</f>
        <v>#N/A</v>
      </c>
    </row>
    <row r="128" spans="1:3" s="29" customFormat="1" ht="30" x14ac:dyDescent="0.25">
      <c r="A128" s="60"/>
      <c r="B128" s="53">
        <v>44075</v>
      </c>
      <c r="C128" s="54" t="e">
        <f>VLOOKUP(A127,'September 2020'!$F$3:$G$12,2,FALSE)</f>
        <v>#N/A</v>
      </c>
    </row>
    <row r="129" spans="1:3" s="29" customFormat="1" ht="30" x14ac:dyDescent="0.25">
      <c r="A129" s="60"/>
      <c r="B129" s="53">
        <v>44105</v>
      </c>
      <c r="C129" s="54" t="e">
        <f>VLOOKUP(A127,'October 2020'!$F$3:$G$12,2,FALSE)</f>
        <v>#N/A</v>
      </c>
    </row>
    <row r="130" spans="1:3" s="29" customFormat="1" x14ac:dyDescent="0.25">
      <c r="A130" s="60"/>
      <c r="B130" s="53">
        <v>44136</v>
      </c>
      <c r="C130" s="54" t="e">
        <f>VLOOKUP(A127,'November 2020'!$F$3:$G$12,2,FALSE)</f>
        <v>#N/A</v>
      </c>
    </row>
    <row r="131" spans="1:3" s="29" customFormat="1" ht="75" x14ac:dyDescent="0.25">
      <c r="A131" s="60"/>
      <c r="B131" s="53">
        <v>44166</v>
      </c>
      <c r="C131" s="54" t="str">
        <f>VLOOKUP(A127,'December 2020'!$F$3:$G$11,2,FALSE)</f>
        <v xml:space="preserve">Business conditions are improving with increased volume, but [growth has] slowed slightly due to COVID-19 shutdowns in some states. </v>
      </c>
    </row>
    <row r="132" spans="1:3" s="29" customFormat="1" x14ac:dyDescent="0.25">
      <c r="A132" s="60"/>
      <c r="B132" s="53">
        <v>44197</v>
      </c>
      <c r="C132" s="54" t="e">
        <f>VLOOKUP(A127,'January 2021'!$F$3:$G$14,2,FALSE)</f>
        <v>#N/A</v>
      </c>
    </row>
    <row r="133" spans="1:3" s="29" customFormat="1" x14ac:dyDescent="0.25">
      <c r="A133" s="60"/>
      <c r="B133" s="53">
        <v>44228</v>
      </c>
      <c r="C133" s="54" t="e">
        <f>VLOOKUP(A127,'February 2021'!$F$4:$G$15,2,FALSE)</f>
        <v>#N/A</v>
      </c>
    </row>
    <row r="134" spans="1:3" s="29" customFormat="1" ht="45" x14ac:dyDescent="0.25">
      <c r="A134" s="60"/>
      <c r="B134" s="53">
        <v>44256</v>
      </c>
      <c r="C134" s="54" t="e">
        <f>VLOOKUP(A127,'March 2021'!$F$2:$G$13,2,FALSE)</f>
        <v>#N/A</v>
      </c>
    </row>
    <row r="135" spans="1:3" s="29" customFormat="1" x14ac:dyDescent="0.25">
      <c r="A135" s="60"/>
      <c r="B135" s="53">
        <v>44287</v>
      </c>
      <c r="C135" s="54" t="e">
        <f>VLOOKUP(A127,'April 2021'!$F$2:$G$13,2,FALSE)</f>
        <v>#N/A</v>
      </c>
    </row>
    <row r="136" spans="1:3" s="29" customFormat="1" ht="45" x14ac:dyDescent="0.25">
      <c r="A136" s="60"/>
      <c r="B136" s="53">
        <v>44317</v>
      </c>
      <c r="C136" s="54" t="e">
        <f>VLOOKUP(A127,'May 2021'!$F$2:$G$13,2,FALSE)</f>
        <v>#N/A</v>
      </c>
    </row>
    <row r="137" spans="1:3" s="29" customFormat="1" ht="30" x14ac:dyDescent="0.25">
      <c r="A137" s="60"/>
      <c r="B137" s="53">
        <v>44348</v>
      </c>
      <c r="C137" s="54" t="str">
        <f>VLOOKUP(A127,'June 2021 '!$F$2:$G$12,2,FALSE)</f>
        <v xml:space="preserve">Labor market remains tight, and wages have risen at an unprecedented rate. We are expecting a long-term effect on pricing of services. </v>
      </c>
    </row>
    <row r="138" spans="1:3" s="29" customFormat="1" ht="45" x14ac:dyDescent="0.25">
      <c r="A138" s="60"/>
      <c r="B138" s="53">
        <v>44378</v>
      </c>
      <c r="C138" s="54" t="e">
        <f>VLOOKUP(A127,'July 2021'!$F$8:$G$17,2,FALSE)</f>
        <v>#N/A</v>
      </c>
    </row>
    <row r="139" spans="1:3" s="29" customFormat="1" ht="60" x14ac:dyDescent="0.25">
      <c r="A139" s="60"/>
      <c r="B139" s="53">
        <v>44409</v>
      </c>
      <c r="C139" s="54" t="e">
        <f>VLOOKUP(A127,'August 2021'!$F$2:$G$14,2,FALSE)</f>
        <v>#N/A</v>
      </c>
    </row>
    <row r="140" spans="1:3" s="29" customFormat="1" ht="45" x14ac:dyDescent="0.25">
      <c r="A140" s="60"/>
      <c r="B140" s="53">
        <v>44440</v>
      </c>
      <c r="C140" s="54" t="str">
        <f>VLOOKUP(A127,'September 2021'!$F$3:$G$16,2,FALSE)</f>
        <v xml:space="preserve">Demand far outweighs supply for goods and services. </v>
      </c>
    </row>
    <row r="141" spans="1:3" s="29" customFormat="1" ht="45" x14ac:dyDescent="0.25">
      <c r="A141" s="60"/>
      <c r="B141" s="53">
        <v>44470</v>
      </c>
      <c r="C141" s="54" t="e">
        <f>VLOOKUP(A127,'October 2021'!$F$3:$G$13,2,FALSE)</f>
        <v>#N/A</v>
      </c>
    </row>
    <row r="142" spans="1:3" s="29" customFormat="1" x14ac:dyDescent="0.25">
      <c r="A142" s="60"/>
      <c r="B142" s="53">
        <v>44501</v>
      </c>
      <c r="C142" s="54" t="str">
        <f>VLOOKUP(A127,'November 2021'!$F$3:$G$14,2,FALSE)</f>
        <v xml:space="preserve">The COVID-19 surge, inventory shortages, driver and maintenance worker shortages, and long lead times for materials are straining our system. This limits our ability to keep vehicles on the road and necessary services running on schedule. </v>
      </c>
    </row>
    <row r="143" spans="1:3" s="29" customFormat="1" ht="60" x14ac:dyDescent="0.25">
      <c r="A143" s="60"/>
      <c r="B143" s="53">
        <v>44531</v>
      </c>
      <c r="C143" s="54" t="e">
        <f>VLOOKUP(A127,'December 2021'!$F$2:$G$12,2,FALSE)</f>
        <v>#N/A</v>
      </c>
    </row>
    <row r="144" spans="1:3" s="29" customFormat="1" ht="30" x14ac:dyDescent="0.25">
      <c r="A144" s="60"/>
      <c r="B144" s="53">
        <v>44562</v>
      </c>
      <c r="C144" s="54" t="e">
        <f>VLOOKUP(A127,'January 2022'!$F$3:$G$13,2,FALSE)</f>
        <v>#N/A</v>
      </c>
    </row>
    <row r="145" spans="1:3" s="29" customFormat="1" ht="30" x14ac:dyDescent="0.25">
      <c r="A145" s="60"/>
      <c r="B145" s="53">
        <v>44593</v>
      </c>
      <c r="C145" s="54" t="e">
        <f>VLOOKUP(A127,'February 2022'!$F$4:$G$13,2,FALSE)</f>
        <v>#N/A</v>
      </c>
    </row>
    <row r="146" spans="1:3" s="29" customFormat="1" ht="30" x14ac:dyDescent="0.25">
      <c r="A146" s="60"/>
      <c r="B146" s="53">
        <v>44621</v>
      </c>
      <c r="C146" s="54" t="e">
        <f>VLOOKUP(A127,'March 2022'!$E$3:$F$13,2,FALSE)</f>
        <v>#N/A</v>
      </c>
    </row>
    <row r="147" spans="1:3" s="29" customFormat="1" x14ac:dyDescent="0.25">
      <c r="A147" s="60"/>
      <c r="B147" s="55"/>
      <c r="C147" s="55"/>
    </row>
    <row r="148" spans="1:3" s="29" customFormat="1" x14ac:dyDescent="0.25">
      <c r="A148" s="60"/>
      <c r="B148" s="55"/>
      <c r="C148" s="55"/>
    </row>
    <row r="149" spans="1:3" s="29" customFormat="1" x14ac:dyDescent="0.25">
      <c r="A149" s="60"/>
      <c r="B149" s="55"/>
      <c r="C149" s="55"/>
    </row>
    <row r="150" spans="1:3" s="29" customFormat="1" x14ac:dyDescent="0.25">
      <c r="A150" s="60"/>
      <c r="B150" s="55"/>
      <c r="C150" s="55"/>
    </row>
    <row r="151" spans="1:3" s="29" customFormat="1" x14ac:dyDescent="0.25">
      <c r="A151" s="60"/>
      <c r="B151" s="55"/>
      <c r="C151" s="55"/>
    </row>
    <row r="152" spans="1:3" s="29" customFormat="1" x14ac:dyDescent="0.25">
      <c r="A152" s="60"/>
      <c r="B152" s="55"/>
      <c r="C152" s="55"/>
    </row>
    <row r="153" spans="1:3" s="29" customFormat="1" x14ac:dyDescent="0.25">
      <c r="A153" s="60"/>
      <c r="B153" s="55"/>
      <c r="C153" s="55"/>
    </row>
    <row r="154" spans="1:3" s="29" customFormat="1" x14ac:dyDescent="0.25">
      <c r="A154" s="60"/>
      <c r="B154" s="55"/>
      <c r="C154" s="55"/>
    </row>
    <row r="155" spans="1:3" s="29" customFormat="1" x14ac:dyDescent="0.25">
      <c r="A155" s="60"/>
      <c r="B155" s="55"/>
      <c r="C155" s="55"/>
    </row>
    <row r="156" spans="1:3" s="29" customFormat="1" x14ac:dyDescent="0.25">
      <c r="A156" s="60"/>
      <c r="B156" s="55"/>
      <c r="C156" s="55"/>
    </row>
    <row r="157" spans="1:3" s="29" customFormat="1" x14ac:dyDescent="0.25">
      <c r="A157" s="60"/>
      <c r="B157" s="55"/>
      <c r="C157" s="55"/>
    </row>
    <row r="158" spans="1:3" x14ac:dyDescent="0.25">
      <c r="A158" s="56" t="s">
        <v>23</v>
      </c>
      <c r="B158" s="57">
        <v>44044</v>
      </c>
      <c r="C158" s="58" t="str">
        <f>VLOOKUP(A158,'August 2020'!$F$3:$G$12,2,FALSE)</f>
        <v xml:space="preserve">Revenue challenges for our customers still remain a primary challenge. </v>
      </c>
    </row>
    <row r="159" spans="1:3" s="29" customFormat="1" x14ac:dyDescent="0.25">
      <c r="A159" s="56"/>
      <c r="B159" s="57">
        <v>44075</v>
      </c>
      <c r="C159" s="58" t="str">
        <f>VLOOKUP(A158,'September 2020'!$F$3:$G$12,2,FALSE)</f>
        <v xml:space="preserve">Given COVID-19, the adjustments we have made across the company has allowed us to reach previous employment levels, and those furloughed are back to work. Everyone is careful to wear the required PPE and keep distancing. We have added additional cleaning staff between shifts to upgrade sanitation. </v>
      </c>
    </row>
    <row r="160" spans="1:3" s="29" customFormat="1" x14ac:dyDescent="0.25">
      <c r="A160" s="56"/>
      <c r="B160" s="57">
        <v>44105</v>
      </c>
      <c r="C160" s="58" t="str">
        <f>VLOOKUP(A158,'October 2020'!$F$3:$G$12,2,FALSE)</f>
        <v xml:space="preserve">Given COVID-19, the adjustments we have made across the company has allowed us to reach previous employment levels, and those furloughed are back to work. Everyone is careful to wear the required PPE and keep distancing. We have added additional cleaning staff between shifts to upgrade sanitation. </v>
      </c>
    </row>
    <row r="161" spans="1:3" s="29" customFormat="1" x14ac:dyDescent="0.25">
      <c r="A161" s="56"/>
      <c r="B161" s="57">
        <v>44136</v>
      </c>
      <c r="C161" s="58" t="str">
        <f>VLOOKUP(A158,'November 2020'!$F$3:$G$12,2,FALSE)</f>
        <v xml:space="preserve">Uncertainty related to the U.S. election is resulting in additional cybersecurity needs. </v>
      </c>
    </row>
    <row r="162" spans="1:3" s="29" customFormat="1" x14ac:dyDescent="0.25">
      <c r="A162" s="56"/>
      <c r="B162" s="57">
        <v>44166</v>
      </c>
      <c r="C162" s="58" t="e">
        <f>VLOOKUP(A158,'December 2020'!$F$3:$G$11,2,FALSE)</f>
        <v>#N/A</v>
      </c>
    </row>
    <row r="163" spans="1:3" s="29" customFormat="1" x14ac:dyDescent="0.25">
      <c r="A163" s="56"/>
      <c r="B163" s="57">
        <v>44197</v>
      </c>
      <c r="C163" s="58" t="str">
        <f>VLOOKUP(A158,'January 2021'!$F$3:$G$14,2,FALSE)</f>
        <v xml:space="preserve">Start of 2021 on track with a positive outlook. </v>
      </c>
    </row>
    <row r="164" spans="1:3" s="29" customFormat="1" x14ac:dyDescent="0.25">
      <c r="A164" s="56"/>
      <c r="B164" s="57">
        <v>44228</v>
      </c>
      <c r="C164" s="58" t="str">
        <f>VLOOKUP(A158,'February 2021'!$F$4:$G$15,2,FALSE)</f>
        <v xml:space="preserve">Business is steady during Q1 2021. </v>
      </c>
    </row>
    <row r="165" spans="1:3" s="29" customFormat="1" x14ac:dyDescent="0.25">
      <c r="A165" s="56"/>
      <c r="B165" s="57">
        <v>44256</v>
      </c>
      <c r="C165" s="58" t="str">
        <f>VLOOKUP(A158,'March 2021'!$F$2:$G$13,2,FALSE)</f>
        <v xml:space="preserve">“Local and national outlook remains positive, despite return-to-work concerns [and] work-from-home-related issues/purchases.” </v>
      </c>
    </row>
    <row r="166" spans="1:3" s="29" customFormat="1" x14ac:dyDescent="0.25">
      <c r="A166" s="56"/>
      <c r="B166" s="57">
        <v>44287</v>
      </c>
      <c r="C166" s="58" t="str">
        <f>VLOOKUP(A158,'April 2021'!$F$2:$G$13,2,FALSE)</f>
        <v xml:space="preserve">Conditions are good for the market/industry. Continuing to trend under budget for operating expenses. Outlook is positive for the second quarter of 2021. </v>
      </c>
    </row>
    <row r="167" spans="1:3" s="29" customFormat="1" x14ac:dyDescent="0.25">
      <c r="A167" s="56"/>
      <c r="B167" s="57">
        <v>44317</v>
      </c>
      <c r="C167" s="58" t="str">
        <f>VLOOKUP(A158,'May 2021'!$F$2:$G$13,2,FALSE)</f>
        <v xml:space="preserve">We anticipated the reopening reasonably well but were caught off guard with respect to some materials. Steel and copper went higher than anticipated, and shortages are having an impact. </v>
      </c>
    </row>
    <row r="168" spans="1:3" s="29" customFormat="1" x14ac:dyDescent="0.25">
      <c r="A168" s="56"/>
      <c r="B168" s="57">
        <v>44348</v>
      </c>
      <c r="C168" s="58" t="str">
        <f>VLOOKUP(A158,'June 2021 '!$F$2:$G$12,2,FALSE)</f>
        <v xml:space="preserve">New business is actively trending up locally, nationally and internationally. </v>
      </c>
    </row>
    <row r="169" spans="1:3" s="29" customFormat="1" x14ac:dyDescent="0.25">
      <c r="A169" s="56"/>
      <c r="B169" s="57">
        <v>44378</v>
      </c>
      <c r="C169" s="58" t="e">
        <f>VLOOKUP(A158,'July 2021'!$F$8:$G$17,2,FALSE)</f>
        <v>#N/A</v>
      </c>
    </row>
    <row r="170" spans="1:3" s="29" customFormat="1" x14ac:dyDescent="0.25">
      <c r="A170" s="56"/>
      <c r="B170" s="57">
        <v>44409</v>
      </c>
      <c r="C170" s="58" t="e">
        <f>VLOOKUP(A158,'August 2021'!$F$2:$G$14,2,FALSE)</f>
        <v>#N/A</v>
      </c>
    </row>
    <row r="171" spans="1:3" s="29" customFormat="1" x14ac:dyDescent="0.25">
      <c r="A171" s="56"/>
      <c r="B171" s="57">
        <v>44440</v>
      </c>
      <c r="C171" s="58" t="str">
        <f>VLOOKUP(A158,'September 2021'!$F$3:$G$16,2,FALSE)</f>
        <v xml:space="preserve">International and domestic demand remains very strong. </v>
      </c>
    </row>
    <row r="172" spans="1:3" s="29" customFormat="1" x14ac:dyDescent="0.25">
      <c r="A172" s="56"/>
      <c r="B172" s="57">
        <v>44470</v>
      </c>
      <c r="C172" s="58" t="e">
        <f>VLOOKUP(A158,'October 2021'!$F$3:$G$13,2,FALSE)</f>
        <v>#N/A</v>
      </c>
    </row>
    <row r="173" spans="1:3" s="29" customFormat="1" ht="30" x14ac:dyDescent="0.25">
      <c r="A173" s="56"/>
      <c r="B173" s="57">
        <v>44501</v>
      </c>
      <c r="C173" s="58" t="str">
        <f>VLOOKUP(A158,'November 2021'!$F$3:$G$14,2,FALSE)</f>
        <v xml:space="preserve">Seeing inflationary forces in the marketplace, which is resulting in suppliers raising their prices moving into 2022. </v>
      </c>
    </row>
    <row r="174" spans="1:3" s="29" customFormat="1" x14ac:dyDescent="0.25">
      <c r="A174" s="56"/>
      <c r="B174" s="57">
        <v>44531</v>
      </c>
      <c r="C174" s="58" t="str">
        <f>VLOOKUP(A158,'December 2021'!$F$2:$G$12,2,FALSE)</f>
        <v xml:space="preserve">Higher than normal employee attrition within our own company and at our suppliers, which is causing disruptions and delays. </v>
      </c>
    </row>
    <row r="175" spans="1:3" s="29" customFormat="1" x14ac:dyDescent="0.25">
      <c r="A175" s="56"/>
      <c r="B175" s="57">
        <v>44562</v>
      </c>
      <c r="C175" s="58" t="str">
        <f>VLOOKUP(A158,'January 2022'!$F$3:$G$13,2,FALSE)</f>
        <v xml:space="preserve">“Business activity is increasing, but professional labor continues to be in short supply. Virtual work is preferred by clients.” </v>
      </c>
    </row>
    <row r="176" spans="1:3" s="29" customFormat="1" x14ac:dyDescent="0.25">
      <c r="A176" s="56"/>
      <c r="B176" s="57">
        <v>44593</v>
      </c>
      <c r="C176" s="58" t="str">
        <f>VLOOKUP(A158,'February 2022'!$F$4:$G$13,2,FALSE)</f>
        <v xml:space="preserve">“Employee turnover within our company and with our suppliers is causing delays in decisions and orders.” </v>
      </c>
    </row>
    <row r="177" spans="1:3" s="29" customFormat="1" x14ac:dyDescent="0.25">
      <c r="A177" s="56"/>
      <c r="B177" s="57">
        <v>44621</v>
      </c>
      <c r="C177" s="58" t="e">
        <f>VLOOKUP(A158,'March 2022'!$E$3:$F$13,2,FALSE)</f>
        <v>#N/A</v>
      </c>
    </row>
    <row r="178" spans="1:3" s="29" customFormat="1" x14ac:dyDescent="0.25">
      <c r="A178" s="56"/>
      <c r="B178" s="59"/>
      <c r="C178" s="59"/>
    </row>
    <row r="179" spans="1:3" s="29" customFormat="1" x14ac:dyDescent="0.25">
      <c r="A179" s="56"/>
      <c r="B179" s="59"/>
      <c r="C179" s="59"/>
    </row>
    <row r="180" spans="1:3" s="29" customFormat="1" x14ac:dyDescent="0.25">
      <c r="A180" s="56"/>
      <c r="B180" s="59"/>
      <c r="C180" s="59"/>
    </row>
    <row r="181" spans="1:3" s="29" customFormat="1" x14ac:dyDescent="0.25">
      <c r="A181" s="56"/>
      <c r="B181" s="59"/>
      <c r="C181" s="59"/>
    </row>
    <row r="182" spans="1:3" s="29" customFormat="1" x14ac:dyDescent="0.25">
      <c r="A182" s="56"/>
      <c r="B182" s="59"/>
      <c r="C182" s="59"/>
    </row>
    <row r="183" spans="1:3" s="29" customFormat="1" x14ac:dyDescent="0.25">
      <c r="A183" s="56"/>
      <c r="B183" s="59"/>
      <c r="C183" s="59"/>
    </row>
    <row r="184" spans="1:3" s="29" customFormat="1" x14ac:dyDescent="0.25">
      <c r="A184" s="56"/>
      <c r="B184" s="59"/>
      <c r="C184" s="59"/>
    </row>
    <row r="185" spans="1:3" s="29" customFormat="1" x14ac:dyDescent="0.25">
      <c r="A185" s="56"/>
      <c r="B185" s="59"/>
      <c r="C185" s="59"/>
    </row>
    <row r="186" spans="1:3" s="29" customFormat="1" x14ac:dyDescent="0.25">
      <c r="A186" s="56"/>
      <c r="B186" s="59"/>
      <c r="C186" s="59"/>
    </row>
    <row r="187" spans="1:3" s="29" customFormat="1" x14ac:dyDescent="0.25">
      <c r="A187" s="56"/>
      <c r="B187" s="59"/>
      <c r="C187" s="59"/>
    </row>
    <row r="188" spans="1:3" s="29" customFormat="1" x14ac:dyDescent="0.25">
      <c r="A188" s="56"/>
      <c r="B188" s="59"/>
      <c r="C188" s="59"/>
    </row>
    <row r="189" spans="1:3" x14ac:dyDescent="0.25">
      <c r="A189" s="60" t="s">
        <v>40</v>
      </c>
      <c r="B189" s="53">
        <v>44044</v>
      </c>
      <c r="C189" s="54" t="e">
        <f>VLOOKUP(A189,'August 2020'!$F$3:$G$12,2,FALSE)</f>
        <v>#N/A</v>
      </c>
    </row>
    <row r="190" spans="1:3" s="29" customFormat="1" ht="45" x14ac:dyDescent="0.25">
      <c r="A190" s="60"/>
      <c r="B190" s="53">
        <v>44075</v>
      </c>
      <c r="C190" s="54" t="e">
        <f>VLOOKUP(A189,'September 2020'!$F$3:$G$12,2,FALSE)</f>
        <v>#N/A</v>
      </c>
    </row>
    <row r="191" spans="1:3" s="29" customFormat="1" ht="45" x14ac:dyDescent="0.25">
      <c r="A191" s="60"/>
      <c r="B191" s="53">
        <v>44105</v>
      </c>
      <c r="C191" s="54" t="e">
        <f>VLOOKUP(A189,'October 2020'!$F$3:$G$12,2,FALSE)</f>
        <v>#N/A</v>
      </c>
    </row>
    <row r="192" spans="1:3" s="29" customFormat="1" x14ac:dyDescent="0.25">
      <c r="A192" s="60"/>
      <c r="B192" s="53">
        <v>44136</v>
      </c>
      <c r="C192" s="54" t="e">
        <f>VLOOKUP(A189,'November 2020'!$F$3:$G$12,2,FALSE)</f>
        <v>#N/A</v>
      </c>
    </row>
    <row r="193" spans="1:3" s="29" customFormat="1" x14ac:dyDescent="0.25">
      <c r="A193" s="60"/>
      <c r="B193" s="53">
        <v>44166</v>
      </c>
      <c r="C193" s="54" t="str">
        <f>VLOOKUP(A189,'December 2020'!$F$3:$G$11,2,FALSE)</f>
        <v xml:space="preserve">The general business conditions are steady/stable. Expecting a very slight slowdown to end the year, with a rebound in mid-January. </v>
      </c>
    </row>
    <row r="194" spans="1:3" s="29" customFormat="1" x14ac:dyDescent="0.25">
      <c r="A194" s="60"/>
      <c r="B194" s="53">
        <v>44197</v>
      </c>
      <c r="C194" s="54" t="str">
        <f>VLOOKUP(A189,'January 2021'!$F$3:$G$14,2,FALSE)</f>
        <v xml:space="preserve">Business outlook for 2021 is positive with projects and capital investments moving forward. Target financial objectives have been obtained. </v>
      </c>
    </row>
    <row r="195" spans="1:3" s="29" customFormat="1" x14ac:dyDescent="0.25">
      <c r="A195" s="60"/>
      <c r="B195" s="53">
        <v>44228</v>
      </c>
      <c r="C195" s="54" t="str">
        <f>VLOOKUP(A189,'February 2021'!$F$4:$G$15,2,FALSE)</f>
        <v xml:space="preserve">Construction and customer activity remains robust. Many materials have inconsistent lead times or are facing delivery delays. </v>
      </c>
    </row>
    <row r="196" spans="1:3" s="29" customFormat="1" x14ac:dyDescent="0.25">
      <c r="A196" s="60"/>
      <c r="B196" s="53">
        <v>44256</v>
      </c>
      <c r="C196" s="54" t="e">
        <f>VLOOKUP(A189,'March 2021'!$F$2:$G$13,2,FALSE)</f>
        <v>#N/A</v>
      </c>
    </row>
    <row r="197" spans="1:3" s="29" customFormat="1" ht="30" x14ac:dyDescent="0.25">
      <c r="A197" s="60"/>
      <c r="B197" s="53">
        <v>44287</v>
      </c>
      <c r="C197" s="54" t="str">
        <f>VLOOKUP(A189,'April 2021'!$F$2:$G$13,2,FALSE)</f>
        <v xml:space="preserve">Business optimism is high. Orders are picking up, and there is a strong demand for capital investments. </v>
      </c>
    </row>
    <row r="198" spans="1:3" s="29" customFormat="1" ht="30" x14ac:dyDescent="0.25">
      <c r="A198" s="60"/>
      <c r="B198" s="53">
        <v>44317</v>
      </c>
      <c r="C198" s="54" t="e">
        <f>VLOOKUP(A189,'May 2021'!$F$2:$G$13,2,FALSE)</f>
        <v>#N/A</v>
      </c>
    </row>
    <row r="199" spans="1:3" s="29" customFormat="1" x14ac:dyDescent="0.25">
      <c r="A199" s="60"/>
      <c r="B199" s="53">
        <v>44348</v>
      </c>
      <c r="C199" s="54" t="e">
        <f>VLOOKUP(A189,'June 2021 '!$F$2:$G$12,2,FALSE)</f>
        <v>#N/A</v>
      </c>
    </row>
    <row r="200" spans="1:3" s="29" customFormat="1" x14ac:dyDescent="0.25">
      <c r="A200" s="60"/>
      <c r="B200" s="53">
        <v>44378</v>
      </c>
      <c r="C200" s="54" t="e">
        <f>VLOOKUP(A189,'July 2021'!$F$8:$G$17,2,FALSE)</f>
        <v>#N/A</v>
      </c>
    </row>
    <row r="201" spans="1:3" s="29" customFormat="1" x14ac:dyDescent="0.25">
      <c r="A201" s="60"/>
      <c r="B201" s="53">
        <v>44409</v>
      </c>
      <c r="C201" s="54" t="e">
        <f>VLOOKUP(A189,'August 2021'!$F$2:$G$14,2,FALSE)</f>
        <v>#N/A</v>
      </c>
    </row>
    <row r="202" spans="1:3" s="29" customFormat="1" x14ac:dyDescent="0.25">
      <c r="A202" s="60"/>
      <c r="B202" s="53">
        <v>44440</v>
      </c>
      <c r="C202" s="54" t="str">
        <f>VLOOKUP(A189,'September 2021'!$F$3:$G$16,2,FALSE)</f>
        <v xml:space="preserve">We continue to deal with extended delivery lead times and high costs. Stress on the supply chain beginning to be reflected in the quality of products offered and delivered. Current buying strategy is to wait — except with equipment, as (price) increases are expected. </v>
      </c>
    </row>
    <row r="203" spans="1:3" s="29" customFormat="1" x14ac:dyDescent="0.25">
      <c r="A203" s="60"/>
      <c r="B203" s="53">
        <v>44470</v>
      </c>
      <c r="C203" s="54" t="e">
        <f>VLOOKUP(A189,'October 2021'!$F$3:$G$13,2,FALSE)</f>
        <v>#N/A</v>
      </c>
    </row>
    <row r="204" spans="1:3" s="29" customFormat="1" x14ac:dyDescent="0.25">
      <c r="A204" s="60"/>
      <c r="B204" s="53">
        <v>44501</v>
      </c>
      <c r="C204" s="54" t="e">
        <f>VLOOKUP(A189,'November 2021'!$F$3:$G$14,2,FALSE)</f>
        <v>#N/A</v>
      </c>
    </row>
    <row r="205" spans="1:3" s="29" customFormat="1" x14ac:dyDescent="0.25">
      <c r="A205" s="60"/>
      <c r="B205" s="53">
        <v>44531</v>
      </c>
      <c r="C205" s="54" t="str">
        <f>VLOOKUP(A189,'December 2021'!$F$2:$G$12,2,FALSE)</f>
        <v xml:space="preserve">We continue to experience supply chain disruptions across the nation and around the globe, resulting in raw material and subcomponent shortages, longer manufacturer lead times, transportation resource constraints, labor pool issues and significant price increases. Supply management continues to recommend pulling in demand, placing orders earlier than historical lead times for long lead-time materials, and qualifying secondary sources of supply (if applicable). </v>
      </c>
    </row>
    <row r="206" spans="1:3" s="29" customFormat="1" x14ac:dyDescent="0.25">
      <c r="A206" s="60"/>
      <c r="B206" s="53">
        <v>44562</v>
      </c>
      <c r="C206" s="54" t="str">
        <f>VLOOKUP(A189,'January 2022'!$F$3:$G$13,2,FALSE)</f>
        <v xml:space="preserve">“Business activity is very high, and we have maintained a consistent amount of back orders. Labor constraints are presenting problems throughout all areas of the business.” </v>
      </c>
    </row>
    <row r="207" spans="1:3" s="29" customFormat="1" x14ac:dyDescent="0.25">
      <c r="A207" s="60"/>
      <c r="B207" s="53">
        <v>44593</v>
      </c>
      <c r="C207" s="54" t="str">
        <f>VLOOKUP(A189,'February 2022'!$F$4:$G$13,2,FALSE)</f>
        <v xml:space="preserve">“Appear to be on the upswing from COVID-19 from an absenteeism standpoint. Still dealing with long lead times for wire, polyvinyl chloride (PVC), steel, transformers and meters. Winter weather has not had an impact on productivity levels.” </v>
      </c>
    </row>
    <row r="208" spans="1:3" s="29" customFormat="1" x14ac:dyDescent="0.25">
      <c r="A208" s="60"/>
      <c r="B208" s="53">
        <v>44621</v>
      </c>
      <c r="C208" s="54" t="str">
        <f>VLOOKUP(A189,'March 2022'!$E$3:$F$13,2,FALSE)</f>
        <v xml:space="preserve">We are still seeing raw material subcomponent shortages, transportation delays and price increases. </v>
      </c>
    </row>
    <row r="209" spans="1:3" s="29" customFormat="1" x14ac:dyDescent="0.25">
      <c r="A209" s="60"/>
      <c r="B209" s="55"/>
      <c r="C209" s="55"/>
    </row>
    <row r="210" spans="1:3" s="29" customFormat="1" x14ac:dyDescent="0.25">
      <c r="A210" s="60"/>
      <c r="B210" s="55"/>
      <c r="C210" s="55"/>
    </row>
    <row r="211" spans="1:3" s="29" customFormat="1" x14ac:dyDescent="0.25">
      <c r="A211" s="60"/>
      <c r="B211" s="55"/>
      <c r="C211" s="55"/>
    </row>
    <row r="212" spans="1:3" s="29" customFormat="1" x14ac:dyDescent="0.25">
      <c r="A212" s="60"/>
      <c r="B212" s="55"/>
      <c r="C212" s="55"/>
    </row>
    <row r="213" spans="1:3" s="29" customFormat="1" x14ac:dyDescent="0.25">
      <c r="A213" s="60"/>
      <c r="B213" s="55"/>
      <c r="C213" s="55"/>
    </row>
    <row r="214" spans="1:3" s="29" customFormat="1" x14ac:dyDescent="0.25">
      <c r="A214" s="60"/>
      <c r="B214" s="55"/>
      <c r="C214" s="55"/>
    </row>
    <row r="215" spans="1:3" s="29" customFormat="1" x14ac:dyDescent="0.25">
      <c r="A215" s="60"/>
      <c r="B215" s="55"/>
      <c r="C215" s="55"/>
    </row>
    <row r="216" spans="1:3" s="29" customFormat="1" x14ac:dyDescent="0.25">
      <c r="A216" s="60"/>
      <c r="B216" s="55"/>
      <c r="C216" s="55"/>
    </row>
    <row r="217" spans="1:3" s="29" customFormat="1" x14ac:dyDescent="0.25">
      <c r="A217" s="60"/>
      <c r="B217" s="55"/>
      <c r="C217" s="55"/>
    </row>
    <row r="218" spans="1:3" s="29" customFormat="1" x14ac:dyDescent="0.25">
      <c r="A218" s="60"/>
      <c r="B218" s="55"/>
      <c r="C218" s="55"/>
    </row>
    <row r="219" spans="1:3" s="29" customFormat="1" x14ac:dyDescent="0.25">
      <c r="A219" s="60"/>
      <c r="B219" s="55"/>
      <c r="C219" s="55"/>
    </row>
    <row r="220" spans="1:3" s="29" customFormat="1" x14ac:dyDescent="0.25">
      <c r="A220" s="60"/>
      <c r="B220" s="55"/>
      <c r="C220" s="55"/>
    </row>
    <row r="221" spans="1:3" x14ac:dyDescent="0.25">
      <c r="A221" s="56" t="s">
        <v>35</v>
      </c>
      <c r="B221" s="57">
        <v>44044</v>
      </c>
      <c r="C221" s="58" t="e">
        <f>VLOOKUP(A221,'August 2020'!$F$3:$G$12,2,FALSE)</f>
        <v>#N/A</v>
      </c>
    </row>
    <row r="222" spans="1:3" s="29" customFormat="1" x14ac:dyDescent="0.25">
      <c r="A222" s="56"/>
      <c r="B222" s="57">
        <v>44075</v>
      </c>
      <c r="C222" s="58" t="e">
        <f>VLOOKUP(A221,'September 2020'!$F$3:$G$12,2,FALSE)</f>
        <v>#N/A</v>
      </c>
    </row>
    <row r="223" spans="1:3" s="29" customFormat="1" x14ac:dyDescent="0.25">
      <c r="A223" s="56"/>
      <c r="B223" s="57">
        <v>44105</v>
      </c>
      <c r="C223" s="58" t="e">
        <f>VLOOKUP(A221,'October 2020'!$F$3:$G$12,2,FALSE)</f>
        <v>#N/A</v>
      </c>
    </row>
    <row r="224" spans="1:3" s="29" customFormat="1" x14ac:dyDescent="0.25">
      <c r="A224" s="56"/>
      <c r="B224" s="57">
        <v>44136</v>
      </c>
      <c r="C224" s="58" t="e">
        <f>VLOOKUP(A221,'November 2020'!$F$3:$G$12,2,FALSE)</f>
        <v>#N/A</v>
      </c>
    </row>
    <row r="225" spans="1:3" s="29" customFormat="1" x14ac:dyDescent="0.25">
      <c r="A225" s="56"/>
      <c r="B225" s="57">
        <v>44166</v>
      </c>
      <c r="C225" s="58" t="e">
        <f>VLOOKUP(A221,'December 2020'!$F$3:$G$11,2,FALSE)</f>
        <v>#N/A</v>
      </c>
    </row>
    <row r="226" spans="1:3" s="29" customFormat="1" x14ac:dyDescent="0.25">
      <c r="A226" s="56"/>
      <c r="B226" s="57">
        <v>44197</v>
      </c>
      <c r="C226" s="58" t="e">
        <f>VLOOKUP(A221,'January 2021'!$F$3:$G$14,2,FALSE)</f>
        <v>#N/A</v>
      </c>
    </row>
    <row r="227" spans="1:3" s="29" customFormat="1" x14ac:dyDescent="0.25">
      <c r="A227" s="56"/>
      <c r="B227" s="57">
        <v>44228</v>
      </c>
      <c r="C227" s="58" t="e">
        <f>VLOOKUP(A221,'February 2021'!$F$4:$G$15,2,FALSE)</f>
        <v>#N/A</v>
      </c>
    </row>
    <row r="228" spans="1:3" s="29" customFormat="1" x14ac:dyDescent="0.25">
      <c r="A228" s="56"/>
      <c r="B228" s="57">
        <v>44256</v>
      </c>
      <c r="C228" s="58" t="e">
        <f>VLOOKUP(A221,'March 2021'!$F$2:$G$13,2,FALSE)</f>
        <v>#N/A</v>
      </c>
    </row>
    <row r="229" spans="1:3" s="29" customFormat="1" x14ac:dyDescent="0.25">
      <c r="A229" s="56"/>
      <c r="B229" s="57">
        <v>44287</v>
      </c>
      <c r="C229" s="58" t="str">
        <f>VLOOKUP(A221,'April 2021'!$F$2:$G$13,2,FALSE)</f>
        <v xml:space="preserve">Delays in container deliveries are now impacting our business. </v>
      </c>
    </row>
    <row r="230" spans="1:3" s="29" customFormat="1" x14ac:dyDescent="0.25">
      <c r="A230" s="56"/>
      <c r="B230" s="57">
        <v>44317</v>
      </c>
      <c r="C230" s="58" t="str">
        <f>VLOOKUP(A221,'May 2021'!$F$2:$G$13,2,FALSE)</f>
        <v xml:space="preserve">Container delays are impacting our supply chain in a significant way. Delays as the Port of Montreal and West Coast ports have impacted our ability to provide products in growing season. Truck availability has generally been tighter than normal. We've seen a real impact in the southeastern market. </v>
      </c>
    </row>
    <row r="231" spans="1:3" s="29" customFormat="1" x14ac:dyDescent="0.25">
      <c r="A231" s="56"/>
      <c r="B231" s="57">
        <v>44348</v>
      </c>
      <c r="C231" s="58" t="e">
        <f>VLOOKUP(A221,'June 2021 '!$F$2:$G$12,2,FALSE)</f>
        <v>#N/A</v>
      </c>
    </row>
    <row r="232" spans="1:3" s="29" customFormat="1" x14ac:dyDescent="0.25">
      <c r="A232" s="56"/>
      <c r="B232" s="57">
        <v>44378</v>
      </c>
      <c r="C232" s="58" t="str">
        <f>VLOOKUP(A221,'July 2021'!$F$8:$G$17,2,FALSE)</f>
        <v xml:space="preserve">The slow movement of container traffic has definitely impacted our business in the first half of the year. We expect the situation will take another year to correct itself. </v>
      </c>
    </row>
    <row r="233" spans="1:3" s="29" customFormat="1" x14ac:dyDescent="0.25">
      <c r="A233" s="56"/>
      <c r="B233" s="57">
        <v>44409</v>
      </c>
      <c r="C233" s="58" t="str">
        <f>VLOOKUP(A221,'August 2021'!$F$2:$G$14,2,FALSE)</f>
        <v xml:space="preserve">There is a shortage of available workers which is challenging our business operations. </v>
      </c>
    </row>
    <row r="234" spans="1:3" s="29" customFormat="1" ht="30" x14ac:dyDescent="0.25">
      <c r="A234" s="56"/>
      <c r="B234" s="57">
        <v>44440</v>
      </c>
      <c r="C234" s="58" t="e">
        <f>VLOOKUP(A221,'September 2021'!$F$3:$G$16,2,FALSE)</f>
        <v>#N/A</v>
      </c>
    </row>
    <row r="235" spans="1:3" s="29" customFormat="1" x14ac:dyDescent="0.25">
      <c r="A235" s="56"/>
      <c r="B235" s="57">
        <v>44470</v>
      </c>
      <c r="C235" s="58" t="str">
        <f>VLOOKUP(A221,'October 2021'!$F$3:$G$13,2,FALSE)</f>
        <v xml:space="preserve">Container delays are causing serious implications for our supply chain. </v>
      </c>
    </row>
    <row r="236" spans="1:3" s="29" customFormat="1" x14ac:dyDescent="0.25">
      <c r="A236" s="56"/>
      <c r="B236" s="57">
        <v>44501</v>
      </c>
      <c r="C236" s="58" t="str">
        <f>VLOOKUP(A221,'November 2021'!$F$3:$G$14,2,FALSE)</f>
        <v xml:space="preserve">Business is greater than in the past. Supply chain issues persist, but we're evolving to overcome or manage them better than in the past. </v>
      </c>
    </row>
    <row r="237" spans="1:3" s="29" customFormat="1" ht="60" x14ac:dyDescent="0.25">
      <c r="A237" s="56"/>
      <c r="B237" s="57">
        <v>44531</v>
      </c>
      <c r="C237" s="58" t="str">
        <f>VLOOKUP(A221,'December 2021'!$F$2:$G$12,2,FALSE)</f>
        <v xml:space="preserve">Supply chain issues continue, but our business is adapting. </v>
      </c>
    </row>
    <row r="238" spans="1:3" s="29" customFormat="1" ht="30" x14ac:dyDescent="0.25">
      <c r="A238" s="56"/>
      <c r="B238" s="57">
        <v>44562</v>
      </c>
      <c r="C238" s="58" t="str">
        <f>VLOOKUP(A221,'January 2022'!$F$3:$G$13,2,FALSE)</f>
        <v xml:space="preserve">“Challenging operating conditions remain the same to start the new year. Our biggest service providers seem to be rebounding from labor shortages or are managing their way through them. We will be forced to upgrade some equipment that is less reliant on labor.” </v>
      </c>
    </row>
    <row r="239" spans="1:3" s="29" customFormat="1" ht="30" x14ac:dyDescent="0.25">
      <c r="A239" s="56"/>
      <c r="B239" s="57">
        <v>44593</v>
      </c>
      <c r="C239" s="58" t="str">
        <f>VLOOKUP(A221,'February 2022'!$F$4:$G$13,2,FALSE)</f>
        <v xml:space="preserve">“Supply chain challenges continue to result in lower inventories of products and higher costs. The challenges are at the highest point since COVID-19 began.” </v>
      </c>
    </row>
    <row r="240" spans="1:3" s="29" customFormat="1" x14ac:dyDescent="0.25">
      <c r="A240" s="56"/>
      <c r="B240" s="57">
        <v>44621</v>
      </c>
      <c r="C240" s="58" t="str">
        <f>VLOOKUP(A221,'March 2022'!$E$3:$F$13,2,FALSE)</f>
        <v xml:space="preserve">Grain and fertilizer prices are near all-time highs, resulting in decreased purchasing. </v>
      </c>
    </row>
    <row r="241" spans="1:3" s="29" customFormat="1" x14ac:dyDescent="0.25">
      <c r="A241" s="56"/>
      <c r="B241" s="59"/>
      <c r="C241" s="59"/>
    </row>
    <row r="242" spans="1:3" s="29" customFormat="1" x14ac:dyDescent="0.25">
      <c r="A242" s="56"/>
      <c r="B242" s="59"/>
      <c r="C242" s="59"/>
    </row>
    <row r="243" spans="1:3" s="29" customFormat="1" x14ac:dyDescent="0.25">
      <c r="A243" s="56"/>
      <c r="B243" s="59"/>
      <c r="C243" s="59"/>
    </row>
    <row r="244" spans="1:3" s="29" customFormat="1" x14ac:dyDescent="0.25">
      <c r="A244" s="56"/>
      <c r="B244" s="59"/>
      <c r="C244" s="59"/>
    </row>
    <row r="245" spans="1:3" s="29" customFormat="1" x14ac:dyDescent="0.25">
      <c r="A245" s="56"/>
      <c r="B245" s="59"/>
      <c r="C245" s="59"/>
    </row>
    <row r="246" spans="1:3" s="29" customFormat="1" x14ac:dyDescent="0.25">
      <c r="A246" s="56"/>
      <c r="B246" s="59"/>
      <c r="C246" s="59"/>
    </row>
    <row r="247" spans="1:3" s="29" customFormat="1" x14ac:dyDescent="0.25">
      <c r="A247" s="56"/>
      <c r="B247" s="59"/>
      <c r="C247" s="59"/>
    </row>
    <row r="248" spans="1:3" s="29" customFormat="1" x14ac:dyDescent="0.25">
      <c r="A248" s="56"/>
      <c r="B248" s="59"/>
      <c r="C248" s="59"/>
    </row>
    <row r="249" spans="1:3" s="29" customFormat="1" x14ac:dyDescent="0.25">
      <c r="A249" s="56"/>
      <c r="B249" s="59"/>
      <c r="C249" s="59"/>
    </row>
    <row r="250" spans="1:3" s="29" customFormat="1" x14ac:dyDescent="0.25">
      <c r="A250" s="56"/>
      <c r="B250" s="59"/>
      <c r="C250" s="59"/>
    </row>
    <row r="251" spans="1:3" s="29" customFormat="1" x14ac:dyDescent="0.25">
      <c r="A251" s="56"/>
      <c r="B251" s="59"/>
      <c r="C251" s="59"/>
    </row>
    <row r="252" spans="1:3" x14ac:dyDescent="0.25">
      <c r="A252" s="60" t="s">
        <v>28</v>
      </c>
      <c r="B252" s="53">
        <v>44044</v>
      </c>
      <c r="C252" s="54" t="str">
        <f>VLOOKUP(A252,'August 2020'!$F$3:$G$12,2,FALSE)</f>
        <v xml:space="preserve">Clear signs of gearing up manufacturing and distribution for an extraordinary e-commerce Christmas. Brick-and-mortar likely closed to crowds. Also, hearing the other shoe is about to drop, probably in first quarter of 2021, on U.S.-China trade. Get out of China now" is resonating." </v>
      </c>
    </row>
    <row r="253" spans="1:3" s="29" customFormat="1" x14ac:dyDescent="0.25">
      <c r="A253" s="60"/>
      <c r="B253" s="53">
        <v>44075</v>
      </c>
      <c r="C253" s="54" t="str">
        <f>VLOOKUP(A252,'September 2020'!$F$3:$G$12,2,FALSE)</f>
        <v xml:space="preserve">While the economy is getting better, there is still very much uncertainty about the future. We are putting capital expenditures on hold until we gain additional confidence and certainty. </v>
      </c>
    </row>
    <row r="254" spans="1:3" s="29" customFormat="1" x14ac:dyDescent="0.25">
      <c r="A254" s="60"/>
      <c r="B254" s="53">
        <v>44105</v>
      </c>
      <c r="C254" s="54" t="str">
        <f>VLOOKUP(A252,'October 2020'!$F$3:$G$12,2,FALSE)</f>
        <v xml:space="preserve">While the economy is getting better, there is still very much uncertainty about the future. We are putting capital expenditures on hold until we gain additional confidence and certainty. </v>
      </c>
    </row>
    <row r="255" spans="1:3" s="29" customFormat="1" x14ac:dyDescent="0.25">
      <c r="A255" s="60"/>
      <c r="B255" s="53">
        <v>44136</v>
      </c>
      <c r="C255" s="54" t="str">
        <f>VLOOKUP(A252,'November 2020'!$F$3:$G$12,2,FALSE)</f>
        <v xml:space="preserve">Tough economic conditions. Lost revenues from the COVID-19 crisis are coming back, but not completely. </v>
      </c>
    </row>
    <row r="256" spans="1:3" s="29" customFormat="1" x14ac:dyDescent="0.25">
      <c r="A256" s="60"/>
      <c r="B256" s="53">
        <v>44166</v>
      </c>
      <c r="C256" s="54" t="e">
        <f>VLOOKUP(A252,'December 2020'!$F$3:$G$11,2,FALSE)</f>
        <v>#N/A</v>
      </c>
    </row>
    <row r="257" spans="1:3" s="29" customFormat="1" x14ac:dyDescent="0.25">
      <c r="A257" s="60"/>
      <c r="B257" s="53">
        <v>44197</v>
      </c>
      <c r="C257" s="54" t="str">
        <f>VLOOKUP(A252,'January 2021'!$F$3:$G$14,2,FALSE)</f>
        <v xml:space="preserve">The copper shortage is slowing deliveries of key network equipment. </v>
      </c>
    </row>
    <row r="258" spans="1:3" s="29" customFormat="1" x14ac:dyDescent="0.25">
      <c r="A258" s="60"/>
      <c r="B258" s="53">
        <v>44228</v>
      </c>
      <c r="C258" s="54" t="str">
        <f>VLOOKUP(A252,'February 2021'!$F$4:$G$15,2,FALSE)</f>
        <v xml:space="preserve">The business continues to reduce real-estate/brick-and-mortar [operations] and transition to a work-from-home model. Innovation is the watchword in all things; as such, the need to right-size all consumption as patterns have changed. </v>
      </c>
    </row>
    <row r="259" spans="1:3" s="29" customFormat="1" x14ac:dyDescent="0.25">
      <c r="A259" s="60"/>
      <c r="B259" s="53">
        <v>44256</v>
      </c>
      <c r="C259" s="54" t="str">
        <f>VLOOKUP(A252,'March 2021'!$F$2:$G$13,2,FALSE)</f>
        <v xml:space="preserve">“Resin/oil price increases are beginning to filter down to products that we procure. In addition to price increases, we are also seeing longer lead times as supply chains pivot to find cheaper supply options.” </v>
      </c>
    </row>
    <row r="260" spans="1:3" s="29" customFormat="1" x14ac:dyDescent="0.25">
      <c r="A260" s="60"/>
      <c r="B260" s="53">
        <v>44287</v>
      </c>
      <c r="C260" s="54" t="str">
        <f>VLOOKUP(A252,'April 2021'!$F$2:$G$13,2,FALSE)</f>
        <v xml:space="preserve">Overall, there is pricing pressure for goods and services in the market. </v>
      </c>
    </row>
    <row r="261" spans="1:3" s="29" customFormat="1" ht="30" x14ac:dyDescent="0.25">
      <c r="A261" s="60"/>
      <c r="B261" s="53">
        <v>44317</v>
      </c>
      <c r="C261" s="54" t="e">
        <f>VLOOKUP(A252,'May 2021'!$F$2:$G$13,2,FALSE)</f>
        <v>#N/A</v>
      </c>
    </row>
    <row r="262" spans="1:3" s="29" customFormat="1" x14ac:dyDescent="0.25">
      <c r="A262" s="60"/>
      <c r="B262" s="53">
        <v>44348</v>
      </c>
      <c r="C262" s="54" t="str">
        <f>VLOOKUP(A252,'June 2021 '!$F$2:$G$12,2,FALSE)</f>
        <v xml:space="preserve">Employees globally are returning to the office where possible. We expect to have most employees in the office starting in September. </v>
      </c>
    </row>
    <row r="263" spans="1:3" s="29" customFormat="1" ht="30" x14ac:dyDescent="0.25">
      <c r="A263" s="60"/>
      <c r="B263" s="53">
        <v>44378</v>
      </c>
      <c r="C263" s="54" t="e">
        <f>VLOOKUP(A252,'July 2021'!$F$8:$G$17,2,FALSE)</f>
        <v>#N/A</v>
      </c>
    </row>
    <row r="264" spans="1:3" s="29" customFormat="1" x14ac:dyDescent="0.25">
      <c r="A264" s="60"/>
      <c r="B264" s="53">
        <v>44409</v>
      </c>
      <c r="C264" s="54" t="str">
        <f>VLOOKUP(A252,'August 2021'!$F$2:$G$14,2,FALSE)</f>
        <v xml:space="preserve">Supplies are tight in technology hardware. </v>
      </c>
    </row>
    <row r="265" spans="1:3" s="29" customFormat="1" x14ac:dyDescent="0.25">
      <c r="A265" s="60"/>
      <c r="B265" s="53">
        <v>44440</v>
      </c>
      <c r="C265" s="54" t="str">
        <f>VLOOKUP(A252,'September 2021'!$F$3:$G$16,2,FALSE)</f>
        <v xml:space="preserve">The semiconductor (shortage is) impacting server delivery. Alternate parts and engineering efforts are being used to create workaround solutions. </v>
      </c>
    </row>
    <row r="266" spans="1:3" s="29" customFormat="1" x14ac:dyDescent="0.25">
      <c r="A266" s="60"/>
      <c r="B266" s="53">
        <v>44470</v>
      </c>
      <c r="C266" s="54" t="str">
        <f>VLOOKUP(A252,'October 2021'!$F$3:$G$13,2,FALSE)</f>
        <v xml:space="preserve">Everything — from sales demand to orders to manufacturers, domestic and international — is ramping up. The international freight crisis is a critical problem, from capacity to transit times with port delays and costs now reaching three times pre-pandemic levels. Fourth-quarter holiday peak sales are at risk for delayed supply. Labor is still an issue, as it's hard to find and get people who want to work, especially in services, trucking and warehouse fulfillment. Profitability outlook is down, thanks to rising costs, lower sales and reduced on-time supply. </v>
      </c>
    </row>
    <row r="267" spans="1:3" s="29" customFormat="1" x14ac:dyDescent="0.25">
      <c r="A267" s="60"/>
      <c r="B267" s="53">
        <v>44501</v>
      </c>
      <c r="C267" s="54" t="e">
        <f>VLOOKUP(A252,'November 2021'!$F$3:$G$14,2,FALSE)</f>
        <v>#N/A</v>
      </c>
    </row>
    <row r="268" spans="1:3" s="29" customFormat="1" x14ac:dyDescent="0.25">
      <c r="A268" s="60"/>
      <c r="B268" s="53">
        <v>44531</v>
      </c>
      <c r="C268" s="54" t="str">
        <f>VLOOKUP(A252,'December 2021'!$F$2:$G$12,2,FALSE)</f>
        <v xml:space="preserve">Most upstream production materials are being pressured by constrained supply chains as well as domestic transportation challenges. Vendors are trying not to pass on expenses, but their margins are such that they will need to raise prices. While we have done a good job holding prices down, we will not be able to hold the vendors at bay. All (cost of goods) will be impacted. </v>
      </c>
    </row>
    <row r="269" spans="1:3" s="29" customFormat="1" ht="30" x14ac:dyDescent="0.25">
      <c r="A269" s="60"/>
      <c r="B269" s="53">
        <v>44562</v>
      </c>
      <c r="C269" s="54" t="str">
        <f>VLOOKUP(A252,'January 2022'!$F$3:$G$13,2,FALSE)</f>
        <v xml:space="preserve">“January has been tough, as product quantities intended for holiday sales are just now coming in, inventories of seasonal products are (very) high and now dormant for nine months, cash flow is down, and new orders are delayed. Omicron is keeping between 20 and 25 percent of our workforce out daily. Inflation is a concern.” </v>
      </c>
    </row>
    <row r="270" spans="1:3" s="29" customFormat="1" ht="30" x14ac:dyDescent="0.25">
      <c r="A270" s="60"/>
      <c r="B270" s="53">
        <v>44593</v>
      </c>
      <c r="C270" s="54" t="str">
        <f>VLOOKUP(A252,'February 2022'!$F$4:$G$13,2,FALSE)</f>
        <v xml:space="preserve">“Business has flattened but holding steady.” </v>
      </c>
    </row>
    <row r="271" spans="1:3" s="29" customFormat="1" x14ac:dyDescent="0.25">
      <c r="A271" s="60"/>
      <c r="B271" s="53">
        <v>44621</v>
      </c>
      <c r="C271" s="54" t="str">
        <f>VLOOKUP(A252,'March 2022'!$E$3:$F$13,2,FALSE)</f>
        <v xml:space="preserve">Energy costs are putting a pinch on all suppliers. We have received many surcharge notices. </v>
      </c>
    </row>
    <row r="272" spans="1:3" s="29" customFormat="1" x14ac:dyDescent="0.25">
      <c r="A272" s="60"/>
      <c r="B272" s="55"/>
      <c r="C272" s="55"/>
    </row>
    <row r="273" spans="1:3" s="29" customFormat="1" x14ac:dyDescent="0.25">
      <c r="A273" s="60"/>
      <c r="B273" s="55"/>
      <c r="C273" s="55"/>
    </row>
    <row r="274" spans="1:3" s="29" customFormat="1" x14ac:dyDescent="0.25">
      <c r="A274" s="60"/>
      <c r="B274" s="55"/>
      <c r="C274" s="55"/>
    </row>
    <row r="275" spans="1:3" s="29" customFormat="1" x14ac:dyDescent="0.25">
      <c r="A275" s="60"/>
      <c r="B275" s="55"/>
      <c r="C275" s="55"/>
    </row>
    <row r="276" spans="1:3" s="29" customFormat="1" x14ac:dyDescent="0.25">
      <c r="A276" s="60"/>
      <c r="B276" s="55"/>
      <c r="C276" s="55"/>
    </row>
    <row r="277" spans="1:3" s="29" customFormat="1" x14ac:dyDescent="0.25">
      <c r="A277" s="60"/>
      <c r="B277" s="55"/>
      <c r="C277" s="55"/>
    </row>
    <row r="278" spans="1:3" s="29" customFormat="1" x14ac:dyDescent="0.25">
      <c r="A278" s="60"/>
      <c r="B278" s="55"/>
      <c r="C278" s="55"/>
    </row>
    <row r="279" spans="1:3" s="29" customFormat="1" x14ac:dyDescent="0.25">
      <c r="A279" s="60"/>
      <c r="B279" s="55"/>
      <c r="C279" s="55"/>
    </row>
    <row r="280" spans="1:3" s="29" customFormat="1" x14ac:dyDescent="0.25">
      <c r="A280" s="60"/>
      <c r="B280" s="55"/>
      <c r="C280" s="55"/>
    </row>
    <row r="281" spans="1:3" s="29" customFormat="1" x14ac:dyDescent="0.25">
      <c r="A281" s="60"/>
      <c r="B281" s="55"/>
      <c r="C281" s="55"/>
    </row>
    <row r="282" spans="1:3" s="29" customFormat="1" x14ac:dyDescent="0.25">
      <c r="A282" s="60"/>
      <c r="B282" s="55"/>
      <c r="C282" s="55"/>
    </row>
    <row r="283" spans="1:3" ht="30" customHeight="1" x14ac:dyDescent="0.25">
      <c r="A283" s="56" t="s">
        <v>15</v>
      </c>
      <c r="B283" s="57">
        <v>44044</v>
      </c>
      <c r="C283" s="58" t="str">
        <f>VLOOKUP(A283,'August 2020'!$F$3:$G$12,2,FALSE)</f>
        <v xml:space="preserve">Increase in service- and work-order requests are signs of economic improvement as companies reopen and begin to ramp up employment activity. </v>
      </c>
    </row>
    <row r="284" spans="1:3" s="29" customFormat="1" x14ac:dyDescent="0.25">
      <c r="A284" s="56"/>
      <c r="B284" s="57">
        <v>44075</v>
      </c>
      <c r="C284" s="58" t="str">
        <f>VLOOKUP(A283,'September 2020'!$F$3:$G$12,2,FALSE)</f>
        <v xml:space="preserve">Encouraging signs continue for an improved fourth quarter. </v>
      </c>
    </row>
    <row r="285" spans="1:3" s="29" customFormat="1" x14ac:dyDescent="0.25">
      <c r="A285" s="56"/>
      <c r="B285" s="57">
        <v>44105</v>
      </c>
      <c r="C285" s="58" t="str">
        <f>VLOOKUP(A283,'October 2020'!$F$3:$G$12,2,FALSE)</f>
        <v xml:space="preserve">Encouraging signs continue for an improved fourth quarter. </v>
      </c>
    </row>
    <row r="286" spans="1:3" s="29" customFormat="1" x14ac:dyDescent="0.25">
      <c r="A286" s="56"/>
      <c r="B286" s="57">
        <v>44136</v>
      </c>
      <c r="C286" s="58" t="str">
        <f>VLOOKUP(A283,'November 2020'!$F$3:$G$12,2,FALSE)</f>
        <v xml:space="preserve">Availability on PPE and other supplies is getting worse again; [the situation] is especially dire with nitrile gloves. </v>
      </c>
    </row>
    <row r="287" spans="1:3" s="29" customFormat="1" x14ac:dyDescent="0.25">
      <c r="A287" s="56"/>
      <c r="B287" s="57">
        <v>44166</v>
      </c>
      <c r="C287" s="58" t="str">
        <f>VLOOKUP(A283,'December 2020'!$F$3:$G$11,2,FALSE)</f>
        <v xml:space="preserve">Deliveries as a whole, are slowing down considerably. Between COVID-19, the holidays, and inclement weather of late, the remainder of [2020] stands to be very challenging regarding maintaining adequate materials for operations. </v>
      </c>
    </row>
    <row r="288" spans="1:3" s="29" customFormat="1" x14ac:dyDescent="0.25">
      <c r="A288" s="56"/>
      <c r="B288" s="57">
        <v>44197</v>
      </c>
      <c r="C288" s="58" t="e">
        <f>VLOOKUP(A283,'January 2021'!$F$3:$G$14,2,FALSE)</f>
        <v>#N/A</v>
      </c>
    </row>
    <row r="289" spans="1:3" s="29" customFormat="1" x14ac:dyDescent="0.25">
      <c r="A289" s="56"/>
      <c r="B289" s="57">
        <v>44228</v>
      </c>
      <c r="C289" s="58" t="e">
        <f>VLOOKUP(A283,'February 2021'!$F$4:$G$15,2,FALSE)</f>
        <v>#N/A</v>
      </c>
    </row>
    <row r="290" spans="1:3" s="29" customFormat="1" x14ac:dyDescent="0.25">
      <c r="A290" s="56"/>
      <c r="B290" s="57">
        <v>44256</v>
      </c>
      <c r="C290" s="58" t="str">
        <f>VLOOKUP(A283,'March 2021'!$F$2:$G$13,2,FALSE)</f>
        <v xml:space="preserve">“Higher levels of demand related to additional business reopening, and increased activity related to vaccination distribution.” </v>
      </c>
    </row>
    <row r="291" spans="1:3" s="29" customFormat="1" x14ac:dyDescent="0.25">
      <c r="A291" s="56"/>
      <c r="B291" s="57">
        <v>44287</v>
      </c>
      <c r="C291" s="58" t="str">
        <f>VLOOKUP(A283,'April 2021'!$F$2:$G$13,2,FALSE)</f>
        <v xml:space="preserve">Supply has been dwarfed by demand [and] ocean-transport logistics imbalances with ships and containers. North America parcel carriers swamped with volume-processing constraints, and highway carriers can't supply drivers, regardless of choked original equipment manufacturer [OEM] truck orders. Rail intermodal is only competitive among two dozen or so origins, to about as many destinations. </v>
      </c>
    </row>
    <row r="292" spans="1:3" s="29" customFormat="1" ht="30" x14ac:dyDescent="0.25">
      <c r="A292" s="56"/>
      <c r="B292" s="57">
        <v>44317</v>
      </c>
      <c r="C292" s="58" t="str">
        <f>VLOOKUP(A283,'May 2021'!$F$2:$G$13,2,FALSE)</f>
        <v xml:space="preserve">Small businesses in the area are reporting stimulus checks and extension of unemployment are hampering their ability to hire workers. Seasonal labor and H-2B (visa) workers are in very short supply, causing an uptick in cost per hour. Some employers are reporting they are offering cash incentives of (US)$50 if you show up for an interview. </v>
      </c>
    </row>
    <row r="293" spans="1:3" s="29" customFormat="1" x14ac:dyDescent="0.25">
      <c r="A293" s="56"/>
      <c r="B293" s="57">
        <v>44348</v>
      </c>
      <c r="C293" s="58" t="e">
        <f>VLOOKUP(A283,'June 2021 '!$F$2:$G$12,2,FALSE)</f>
        <v>#N/A</v>
      </c>
    </row>
    <row r="294" spans="1:3" s="29" customFormat="1" ht="30" x14ac:dyDescent="0.25">
      <c r="A294" s="56"/>
      <c r="B294" s="57">
        <v>44378</v>
      </c>
      <c r="C294" s="58" t="str">
        <f>VLOOKUP(A283,'July 2021'!$F$8:$G$17,2,FALSE)</f>
        <v xml:space="preserve">Supply chain disruptions continue to impact sales. </v>
      </c>
    </row>
    <row r="295" spans="1:3" s="29" customFormat="1" x14ac:dyDescent="0.25">
      <c r="A295" s="56"/>
      <c r="B295" s="57">
        <v>44409</v>
      </c>
      <c r="C295" s="58" t="str">
        <f>VLOOKUP(A283,'August 2021'!$F$2:$G$14,2,FALSE)</f>
        <v xml:space="preserve">Continuing supply chain disruptions and supply cost increases. </v>
      </c>
    </row>
    <row r="296" spans="1:3" s="29" customFormat="1" x14ac:dyDescent="0.25">
      <c r="A296" s="56"/>
      <c r="B296" s="57">
        <v>44440</v>
      </c>
      <c r="C296" s="58" t="str">
        <f>VLOOKUP(A283,'September 2021'!$F$3:$G$16,2,FALSE)</f>
        <v xml:space="preserve">Inventories shrinking due to global shipping logistics being a seller's/provider's market, with primary focus on yield versus market expansion. </v>
      </c>
    </row>
    <row r="297" spans="1:3" s="29" customFormat="1" x14ac:dyDescent="0.25">
      <c r="A297" s="56"/>
      <c r="B297" s="57">
        <v>44470</v>
      </c>
      <c r="C297" s="58" t="str">
        <f>VLOOKUP(A283,'October 2021'!$F$3:$G$13,2,FALSE)</f>
        <v xml:space="preserve">Positive indications that have been building in the last couple of months are continuing into the beginning of this quarter. </v>
      </c>
    </row>
    <row r="298" spans="1:3" s="29" customFormat="1" x14ac:dyDescent="0.25">
      <c r="A298" s="56"/>
      <c r="B298" s="57">
        <v>44501</v>
      </c>
      <c r="C298" s="58" t="e">
        <f>VLOOKUP(A283,'November 2021'!$F$3:$G$14,2,FALSE)</f>
        <v>#N/A</v>
      </c>
    </row>
    <row r="299" spans="1:3" s="29" customFormat="1" x14ac:dyDescent="0.25">
      <c r="A299" s="56"/>
      <c r="B299" s="57">
        <v>44531</v>
      </c>
      <c r="C299" s="58" t="str">
        <f>VLOOKUP(A283,'December 2021'!$F$2:$G$12,2,FALSE)</f>
        <v xml:space="preserve">Electronic chip (shortage) is severely affecting deliveries from our supply base, thus impacting our ability to deliver to customers. </v>
      </c>
    </row>
    <row r="300" spans="1:3" s="29" customFormat="1" ht="30" x14ac:dyDescent="0.25">
      <c r="A300" s="56"/>
      <c r="B300" s="57">
        <v>44562</v>
      </c>
      <c r="C300" s="58" t="str">
        <f>VLOOKUP(A283,'January 2022'!$F$3:$G$13,2,FALSE)</f>
        <v xml:space="preserve">“Blood shortages are causing issues in the emergency rooms.” </v>
      </c>
    </row>
    <row r="301" spans="1:3" s="29" customFormat="1" ht="30" x14ac:dyDescent="0.25">
      <c r="A301" s="56"/>
      <c r="B301" s="57">
        <v>44593</v>
      </c>
      <c r="C301" s="58" t="str">
        <f>VLOOKUP(A283,'February 2022'!$F$4:$G$13,2,FALSE)</f>
        <v xml:space="preserve">“Staffing shortages, supply chain disruptions and rising inflation continue to impact the world economy. Companies are struggling to hire direct employees and non-employee labor because wages continue to increase for both. The Great Resignation is real: Employees, contractors and consultants continue to quit their jobs and engagements for opportunities that pay more and have more flexible work options. Millions of light industrial jobs remain open in the U.S., with limited interest from job seekers. Severe labor shortages are expected well into 2022. Corporations need to increase wages and salaries to attract talent and get work done. Faster wage growth is expected to lead to increased inflation.” </v>
      </c>
    </row>
    <row r="302" spans="1:3" s="29" customFormat="1" x14ac:dyDescent="0.25">
      <c r="A302" s="56"/>
      <c r="B302" s="57">
        <v>44621</v>
      </c>
      <c r="C302" s="58" t="e">
        <f>VLOOKUP(A283,'March 2022'!$E$3:$F$13,2,FALSE)</f>
        <v>#N/A</v>
      </c>
    </row>
    <row r="303" spans="1:3" s="29" customFormat="1" x14ac:dyDescent="0.25">
      <c r="A303" s="56"/>
      <c r="B303" s="59"/>
      <c r="C303" s="59"/>
    </row>
    <row r="304" spans="1:3" s="29" customFormat="1" x14ac:dyDescent="0.25">
      <c r="A304" s="56"/>
      <c r="B304" s="59"/>
      <c r="C304" s="59"/>
    </row>
    <row r="305" spans="1:3" s="29" customFormat="1" x14ac:dyDescent="0.25">
      <c r="A305" s="56"/>
      <c r="B305" s="59"/>
      <c r="C305" s="59"/>
    </row>
    <row r="306" spans="1:3" s="29" customFormat="1" x14ac:dyDescent="0.25">
      <c r="A306" s="56"/>
      <c r="B306" s="59"/>
      <c r="C306" s="59"/>
    </row>
    <row r="307" spans="1:3" s="29" customFormat="1" x14ac:dyDescent="0.25">
      <c r="A307" s="56"/>
      <c r="B307" s="59"/>
      <c r="C307" s="59"/>
    </row>
    <row r="308" spans="1:3" s="29" customFormat="1" x14ac:dyDescent="0.25">
      <c r="A308" s="56"/>
      <c r="B308" s="59"/>
      <c r="C308" s="59"/>
    </row>
    <row r="309" spans="1:3" s="29" customFormat="1" x14ac:dyDescent="0.25">
      <c r="A309" s="56"/>
      <c r="B309" s="59"/>
      <c r="C309" s="59"/>
    </row>
    <row r="310" spans="1:3" s="29" customFormat="1" x14ac:dyDescent="0.25">
      <c r="A310" s="56"/>
      <c r="B310" s="59"/>
      <c r="C310" s="59"/>
    </row>
    <row r="311" spans="1:3" s="29" customFormat="1" x14ac:dyDescent="0.25">
      <c r="A311" s="56"/>
      <c r="B311" s="59"/>
      <c r="C311" s="59"/>
    </row>
    <row r="312" spans="1:3" s="29" customFormat="1" x14ac:dyDescent="0.25">
      <c r="A312" s="56"/>
      <c r="B312" s="59"/>
      <c r="C312" s="59"/>
    </row>
    <row r="313" spans="1:3" s="29" customFormat="1" x14ac:dyDescent="0.25">
      <c r="A313" s="56"/>
      <c r="B313" s="59"/>
      <c r="C313" s="59"/>
    </row>
    <row r="314" spans="1:3" x14ac:dyDescent="0.25">
      <c r="A314" s="60" t="s">
        <v>16</v>
      </c>
      <c r="B314" s="53">
        <v>44044</v>
      </c>
      <c r="C314" s="54" t="e">
        <f>VLOOKUP(A314,'August 2020'!$F$3:$G$12,2,FALSE)</f>
        <v>#N/A</v>
      </c>
    </row>
    <row r="315" spans="1:3" s="29" customFormat="1" x14ac:dyDescent="0.25">
      <c r="A315" s="60"/>
      <c r="B315" s="53">
        <v>44075</v>
      </c>
      <c r="C315" s="54" t="e">
        <f>VLOOKUP(A314,'September 2020'!$F$3:$G$12,2,FALSE)</f>
        <v>#N/A</v>
      </c>
    </row>
    <row r="316" spans="1:3" s="29" customFormat="1" x14ac:dyDescent="0.25">
      <c r="A316" s="60"/>
      <c r="B316" s="53">
        <v>44105</v>
      </c>
      <c r="C316" s="54" t="e">
        <f>VLOOKUP(A314,'October 2020'!$F$3:$G$12,2,FALSE)</f>
        <v>#N/A</v>
      </c>
    </row>
    <row r="317" spans="1:3" s="29" customFormat="1" x14ac:dyDescent="0.25">
      <c r="A317" s="60"/>
      <c r="B317" s="53">
        <v>44136</v>
      </c>
      <c r="C317" s="54" t="str">
        <f>VLOOKUP(A314,'November 2020'!$F$3:$G$12,2,FALSE)</f>
        <v xml:space="preserve">COVID-19 has brought some changes to operations, but for the most part, things are progressing as usual. </v>
      </c>
    </row>
    <row r="318" spans="1:3" s="29" customFormat="1" x14ac:dyDescent="0.25">
      <c r="A318" s="60"/>
      <c r="B318" s="53">
        <v>44166</v>
      </c>
      <c r="C318" s="54" t="e">
        <f>VLOOKUP(A314,'December 2020'!$F$3:$G$11,2,FALSE)</f>
        <v>#N/A</v>
      </c>
    </row>
    <row r="319" spans="1:3" s="29" customFormat="1" x14ac:dyDescent="0.25">
      <c r="A319" s="60"/>
      <c r="B319" s="53">
        <v>44197</v>
      </c>
      <c r="C319" s="54" t="str">
        <f>VLOOKUP(A314,'January 2021'!$F$3:$G$14,2,FALSE)</f>
        <v xml:space="preserve">Still working under COVID-19 restrictions and uncertain political climate. </v>
      </c>
    </row>
    <row r="320" spans="1:3" s="29" customFormat="1" x14ac:dyDescent="0.25">
      <c r="A320" s="60"/>
      <c r="B320" s="53">
        <v>44228</v>
      </c>
      <c r="C320" s="54" t="e">
        <f>VLOOKUP(A314,'February 2021'!$F$4:$G$15,2,FALSE)</f>
        <v>#N/A</v>
      </c>
    </row>
    <row r="321" spans="1:3" s="29" customFormat="1" x14ac:dyDescent="0.25">
      <c r="A321" s="60"/>
      <c r="B321" s="53">
        <v>44256</v>
      </c>
      <c r="C321" s="54" t="str">
        <f>VLOOKUP(A314,'March 2021'!$F$2:$G$13,2,FALSE)</f>
        <v xml:space="preserve">“Lack of chemicals and the recent freeze in Texas has delayed some orders and is creating a micro [price] increases for certain products. Suppliers are using the short-term shortage to their advantage to raise rates.” </v>
      </c>
    </row>
    <row r="322" spans="1:3" s="29" customFormat="1" x14ac:dyDescent="0.25">
      <c r="A322" s="60"/>
      <c r="B322" s="53">
        <v>44287</v>
      </c>
      <c r="C322" s="54" t="e">
        <f>VLOOKUP(A314,'April 2021'!$F$2:$G$13,2,FALSE)</f>
        <v>#N/A</v>
      </c>
    </row>
    <row r="323" spans="1:3" s="29" customFormat="1" ht="30" x14ac:dyDescent="0.25">
      <c r="A323" s="60"/>
      <c r="B323" s="53">
        <v>44317</v>
      </c>
      <c r="C323" s="54" t="str">
        <f>VLOOKUP(A314,'May 2021'!$F$2:$G$13,2,FALSE)</f>
        <v xml:space="preserve">Transportation, labor, steel and general commodities are all increasing (in price) based upon general inflation and the rising price of oil. </v>
      </c>
    </row>
    <row r="324" spans="1:3" s="29" customFormat="1" x14ac:dyDescent="0.25">
      <c r="A324" s="60"/>
      <c r="B324" s="53">
        <v>44348</v>
      </c>
      <c r="C324" s="54" t="str">
        <f>VLOOKUP(A314,'June 2021 '!$F$2:$G$12,2,FALSE)</f>
        <v xml:space="preserve">Starting to see a lot of commodity-price increases for chemicals, acidizing and cementing. This is driven by product cost increases stemming from low production from plants. </v>
      </c>
    </row>
    <row r="325" spans="1:3" s="29" customFormat="1" ht="30" x14ac:dyDescent="0.25">
      <c r="A325" s="60"/>
      <c r="B325" s="53">
        <v>44378</v>
      </c>
      <c r="C325" s="54" t="e">
        <f>VLOOKUP(A314,'July 2021'!$F$8:$G$17,2,FALSE)</f>
        <v>#N/A</v>
      </c>
    </row>
    <row r="326" spans="1:3" s="29" customFormat="1" x14ac:dyDescent="0.25">
      <c r="A326" s="60"/>
      <c r="B326" s="53">
        <v>44409</v>
      </c>
      <c r="C326" s="54" t="str">
        <f>VLOOKUP(A314,'August 2021'!$F$2:$G$14,2,FALSE)</f>
        <v xml:space="preserve">Activity level continues to increase. </v>
      </c>
    </row>
    <row r="327" spans="1:3" s="29" customFormat="1" x14ac:dyDescent="0.25">
      <c r="A327" s="60"/>
      <c r="B327" s="53">
        <v>44440</v>
      </c>
      <c r="C327" s="54" t="e">
        <f>VLOOKUP(A314,'September 2021'!$F$3:$G$16,2,FALSE)</f>
        <v>#N/A</v>
      </c>
    </row>
    <row r="328" spans="1:3" s="29" customFormat="1" x14ac:dyDescent="0.25">
      <c r="A328" s="60"/>
      <c r="B328" s="53">
        <v>44470</v>
      </c>
      <c r="C328" s="54" t="e">
        <f>VLOOKUP(A314,'October 2021'!$F$3:$G$13,2,FALSE)</f>
        <v>#N/A</v>
      </c>
    </row>
    <row r="329" spans="1:3" s="29" customFormat="1" x14ac:dyDescent="0.25">
      <c r="A329" s="60"/>
      <c r="B329" s="53">
        <v>44501</v>
      </c>
      <c r="C329" s="54" t="e">
        <f>VLOOKUP(A314,'November 2021'!$F$3:$G$14,2,FALSE)</f>
        <v>#N/A</v>
      </c>
    </row>
    <row r="330" spans="1:3" s="29" customFormat="1" x14ac:dyDescent="0.25">
      <c r="A330" s="60"/>
      <c r="B330" s="53">
        <v>44531</v>
      </c>
      <c r="C330" s="54" t="e">
        <f>VLOOKUP(A314,'December 2021'!$F$2:$G$12,2,FALSE)</f>
        <v>#N/A</v>
      </c>
    </row>
    <row r="331" spans="1:3" s="29" customFormat="1" ht="30" x14ac:dyDescent="0.25">
      <c r="A331" s="60"/>
      <c r="B331" s="53">
        <v>44562</v>
      </c>
      <c r="C331" s="54" t="e">
        <f>VLOOKUP(A314,'January 2022'!$F$3:$G$13,2,FALSE)</f>
        <v>#N/A</v>
      </c>
    </row>
    <row r="332" spans="1:3" s="29" customFormat="1" ht="30" x14ac:dyDescent="0.25">
      <c r="A332" s="60"/>
      <c r="B332" s="53">
        <v>44593</v>
      </c>
      <c r="C332" s="54" t="e">
        <f>VLOOKUP(A314,'February 2022'!$F$4:$G$13,2,FALSE)</f>
        <v>#N/A</v>
      </c>
    </row>
    <row r="333" spans="1:3" s="29" customFormat="1" x14ac:dyDescent="0.25">
      <c r="A333" s="60"/>
      <c r="B333" s="53">
        <v>44621</v>
      </c>
      <c r="C333" s="54" t="e">
        <f>VLOOKUP(A314,'March 2022'!$E$3:$F$13,2,FALSE)</f>
        <v>#N/A</v>
      </c>
    </row>
    <row r="334" spans="1:3" s="29" customFormat="1" x14ac:dyDescent="0.25">
      <c r="A334" s="60"/>
      <c r="B334" s="55"/>
      <c r="C334" s="55"/>
    </row>
    <row r="335" spans="1:3" s="29" customFormat="1" x14ac:dyDescent="0.25">
      <c r="A335" s="60"/>
      <c r="B335" s="55"/>
      <c r="C335" s="55"/>
    </row>
    <row r="336" spans="1:3" s="29" customFormat="1" x14ac:dyDescent="0.25">
      <c r="A336" s="60"/>
      <c r="B336" s="55"/>
      <c r="C336" s="55"/>
    </row>
    <row r="337" spans="1:3" s="29" customFormat="1" x14ac:dyDescent="0.25">
      <c r="A337" s="60"/>
      <c r="B337" s="55"/>
      <c r="C337" s="55"/>
    </row>
    <row r="338" spans="1:3" s="29" customFormat="1" x14ac:dyDescent="0.25">
      <c r="A338" s="60"/>
      <c r="B338" s="55"/>
      <c r="C338" s="55"/>
    </row>
    <row r="339" spans="1:3" s="29" customFormat="1" x14ac:dyDescent="0.25">
      <c r="A339" s="60"/>
      <c r="B339" s="55"/>
      <c r="C339" s="55"/>
    </row>
    <row r="340" spans="1:3" s="29" customFormat="1" x14ac:dyDescent="0.25">
      <c r="A340" s="60"/>
      <c r="B340" s="55"/>
      <c r="C340" s="55"/>
    </row>
    <row r="341" spans="1:3" s="29" customFormat="1" x14ac:dyDescent="0.25">
      <c r="A341" s="60"/>
      <c r="B341" s="55"/>
      <c r="C341" s="55"/>
    </row>
    <row r="342" spans="1:3" s="29" customFormat="1" x14ac:dyDescent="0.25">
      <c r="A342" s="60"/>
      <c r="B342" s="55"/>
      <c r="C342" s="55"/>
    </row>
    <row r="343" spans="1:3" s="29" customFormat="1" x14ac:dyDescent="0.25">
      <c r="A343" s="60"/>
      <c r="B343" s="55"/>
      <c r="C343" s="55"/>
    </row>
    <row r="344" spans="1:3" s="29" customFormat="1" x14ac:dyDescent="0.25">
      <c r="A344" s="60"/>
      <c r="B344" s="55"/>
      <c r="C344" s="55"/>
    </row>
    <row r="345" spans="1:3" x14ac:dyDescent="0.25">
      <c r="A345" s="56" t="s">
        <v>34</v>
      </c>
      <c r="B345" s="57">
        <v>44044</v>
      </c>
      <c r="C345" s="58" t="e">
        <f>VLOOKUP(A345,'August 2020'!$F$3:$G$12,2,FALSE)</f>
        <v>#N/A</v>
      </c>
    </row>
    <row r="346" spans="1:3" s="29" customFormat="1" x14ac:dyDescent="0.25">
      <c r="A346" s="56"/>
      <c r="B346" s="57">
        <v>44075</v>
      </c>
      <c r="C346" s="58" t="e">
        <f>VLOOKUP(A345,'September 2020'!$F$3:$G$12,2,FALSE)</f>
        <v>#N/A</v>
      </c>
    </row>
    <row r="347" spans="1:3" s="29" customFormat="1" x14ac:dyDescent="0.25">
      <c r="A347" s="56"/>
      <c r="B347" s="57">
        <v>44105</v>
      </c>
      <c r="C347" s="58" t="e">
        <f>VLOOKUP(A345,'October 2020'!$F$3:$G$12,2,FALSE)</f>
        <v>#N/A</v>
      </c>
    </row>
    <row r="348" spans="1:3" s="29" customFormat="1" x14ac:dyDescent="0.25">
      <c r="A348" s="56"/>
      <c r="B348" s="57">
        <v>44136</v>
      </c>
      <c r="C348" s="58" t="e">
        <f>VLOOKUP(A345,'November 2020'!$F$3:$G$12,2,FALSE)</f>
        <v>#N/A</v>
      </c>
    </row>
    <row r="349" spans="1:3" s="29" customFormat="1" x14ac:dyDescent="0.25">
      <c r="A349" s="56"/>
      <c r="B349" s="57">
        <v>44166</v>
      </c>
      <c r="C349" s="58" t="e">
        <f>VLOOKUP(A345,'December 2020'!$F$3:$G$11,2,FALSE)</f>
        <v>#N/A</v>
      </c>
    </row>
    <row r="350" spans="1:3" s="29" customFormat="1" x14ac:dyDescent="0.25">
      <c r="A350" s="56"/>
      <c r="B350" s="57">
        <v>44197</v>
      </c>
      <c r="C350" s="58" t="str">
        <f>VLOOKUP(A345,'January 2021'!$F$3:$G$14,2,FALSE)</f>
        <v xml:space="preserve">Post-holidays spending is up. Many capital projects and expenditures are coming to fruition. </v>
      </c>
    </row>
    <row r="351" spans="1:3" s="29" customFormat="1" x14ac:dyDescent="0.25">
      <c r="A351" s="56"/>
      <c r="B351" s="57">
        <v>44228</v>
      </c>
      <c r="C351" s="58" t="e">
        <f>VLOOKUP(A345,'February 2021'!$F$4:$G$15,2,FALSE)</f>
        <v>#N/A</v>
      </c>
    </row>
    <row r="352" spans="1:3" s="29" customFormat="1" x14ac:dyDescent="0.25">
      <c r="A352" s="56"/>
      <c r="B352" s="57">
        <v>44256</v>
      </c>
      <c r="C352" s="58" t="e">
        <f>VLOOKUP(A345,'March 2021'!$F$2:$G$13,2,FALSE)</f>
        <v>#N/A</v>
      </c>
    </row>
    <row r="353" spans="1:3" s="29" customFormat="1" x14ac:dyDescent="0.25">
      <c r="A353" s="56"/>
      <c r="B353" s="57">
        <v>44287</v>
      </c>
      <c r="C353" s="58" t="str">
        <f>VLOOKUP(A345,'April 2021'!$F$2:$G$13,2,FALSE)</f>
        <v xml:space="preserve">Business is generally upbeat. There is pent-up demand and resources, especially people. The pandemic, while not over, is subsiding in most places with the vaccines. Many people who were previously unable to think about relocating for jobs are now doing so. Other areas of the economy are opening up. Many medical treatments that were not critical and were put off are now being administered. </v>
      </c>
    </row>
    <row r="354" spans="1:3" s="29" customFormat="1" ht="30" x14ac:dyDescent="0.25">
      <c r="A354" s="56"/>
      <c r="B354" s="57">
        <v>44317</v>
      </c>
      <c r="C354" s="58" t="e">
        <f>VLOOKUP(A345,'May 2021'!$F$2:$G$13,2,FALSE)</f>
        <v>#N/A</v>
      </c>
    </row>
    <row r="355" spans="1:3" s="29" customFormat="1" x14ac:dyDescent="0.25">
      <c r="A355" s="56"/>
      <c r="B355" s="57">
        <v>44348</v>
      </c>
      <c r="C355" s="58" t="e">
        <f>VLOOKUP(A345,'June 2021 '!$F$2:$G$12,2,FALSE)</f>
        <v>#N/A</v>
      </c>
    </row>
    <row r="356" spans="1:3" s="29" customFormat="1" ht="30" x14ac:dyDescent="0.25">
      <c r="A356" s="56"/>
      <c r="B356" s="57">
        <v>44378</v>
      </c>
      <c r="C356" s="58" t="str">
        <f>VLOOKUP(A345,'July 2021'!$F$8:$G$17,2,FALSE)</f>
        <v xml:space="preserve">Appliances, laptops and certain chemicals are still in short supply. </v>
      </c>
    </row>
    <row r="357" spans="1:3" s="29" customFormat="1" x14ac:dyDescent="0.25">
      <c r="A357" s="56"/>
      <c r="B357" s="57">
        <v>44409</v>
      </c>
      <c r="C357" s="58" t="str">
        <f>VLOOKUP(A345,'August 2021'!$F$2:$G$14,2,FALSE)</f>
        <v xml:space="preserve">Chemicals and transportation services are in short supply. Also, chip shortages are affecting several large-project time lines. </v>
      </c>
    </row>
    <row r="358" spans="1:3" s="29" customFormat="1" x14ac:dyDescent="0.25">
      <c r="A358" s="56"/>
      <c r="B358" s="57">
        <v>44440</v>
      </c>
      <c r="C358" s="58" t="str">
        <f>VLOOKUP(A345,'September 2021'!$F$3:$G$16,2,FALSE)</f>
        <v xml:space="preserve">Lead times have improved slightly over the last period, but still remain lengthy relative to pre-pandemic levels. We continue to see rising costs for both supply and service inputs. The effects of these price increases have the potential to significantly impact our operations through the end of the year, especially if seasonal trends prove exceptionally strong. </v>
      </c>
    </row>
    <row r="359" spans="1:3" s="29" customFormat="1" x14ac:dyDescent="0.25">
      <c r="A359" s="56"/>
      <c r="B359" s="57">
        <v>44470</v>
      </c>
      <c r="C359" s="58" t="str">
        <f>VLOOKUP(A345,'October 2021'!$F$3:$G$13,2,FALSE)</f>
        <v xml:space="preserve">Deliveries are significantly delayed. Metals continue to be volatile. </v>
      </c>
    </row>
    <row r="360" spans="1:3" s="29" customFormat="1" x14ac:dyDescent="0.25">
      <c r="A360" s="56"/>
      <c r="B360" s="57">
        <v>44501</v>
      </c>
      <c r="C360" s="58" t="str">
        <f>VLOOKUP(A345,'November 2021'!$F$3:$G$14,2,FALSE)</f>
        <v xml:space="preserve">Late deliveries and shortages continue. Disruptions seem to be declining somewhat, as suppliers and customers are finding innovative ways to keep supplies moving. </v>
      </c>
    </row>
    <row r="361" spans="1:3" s="29" customFormat="1" x14ac:dyDescent="0.25">
      <c r="A361" s="56"/>
      <c r="B361" s="57">
        <v>44531</v>
      </c>
      <c r="C361" s="58" t="e">
        <f>VLOOKUP(A345,'December 2021'!$F$2:$G$12,2,FALSE)</f>
        <v>#N/A</v>
      </c>
    </row>
    <row r="362" spans="1:3" s="29" customFormat="1" ht="30" x14ac:dyDescent="0.25">
      <c r="A362" s="56"/>
      <c r="B362" s="57">
        <v>44562</v>
      </c>
      <c r="C362" s="58" t="e">
        <f>VLOOKUP(A345,'January 2022'!$F$3:$G$13,2,FALSE)</f>
        <v>#N/A</v>
      </c>
    </row>
    <row r="363" spans="1:3" s="29" customFormat="1" ht="30" x14ac:dyDescent="0.25">
      <c r="A363" s="56"/>
      <c r="B363" s="57">
        <v>44593</v>
      </c>
      <c r="C363" s="58" t="e">
        <f>VLOOKUP(A345,'February 2022'!$F$4:$G$13,2,FALSE)</f>
        <v>#N/A</v>
      </c>
    </row>
    <row r="364" spans="1:3" s="29" customFormat="1" x14ac:dyDescent="0.25">
      <c r="A364" s="56"/>
      <c r="B364" s="57">
        <v>44621</v>
      </c>
      <c r="C364" s="58" t="str">
        <f>VLOOKUP(A345,'March 2022'!$E$3:$F$13,2,FALSE)</f>
        <v xml:space="preserve">Long lead times for electronic components are becoming normal and expected. Chemical deliveries are often delayed due to a lack of qualified hazardous materials drivers. </v>
      </c>
    </row>
    <row r="365" spans="1:3" s="29" customFormat="1" x14ac:dyDescent="0.25">
      <c r="A365" s="56"/>
      <c r="B365" s="59"/>
      <c r="C365" s="59"/>
    </row>
    <row r="366" spans="1:3" s="29" customFormat="1" x14ac:dyDescent="0.25">
      <c r="A366" s="56"/>
      <c r="B366" s="59"/>
      <c r="C366" s="59"/>
    </row>
    <row r="367" spans="1:3" s="29" customFormat="1" x14ac:dyDescent="0.25">
      <c r="A367" s="56"/>
      <c r="B367" s="59"/>
      <c r="C367" s="59"/>
    </row>
    <row r="368" spans="1:3" s="29" customFormat="1" x14ac:dyDescent="0.25">
      <c r="A368" s="56"/>
      <c r="B368" s="59"/>
      <c r="C368" s="59"/>
    </row>
    <row r="369" spans="1:3" s="29" customFormat="1" x14ac:dyDescent="0.25">
      <c r="A369" s="56"/>
      <c r="B369" s="59"/>
      <c r="C369" s="59"/>
    </row>
    <row r="370" spans="1:3" s="29" customFormat="1" x14ac:dyDescent="0.25">
      <c r="A370" s="56"/>
      <c r="B370" s="59"/>
      <c r="C370" s="59"/>
    </row>
    <row r="371" spans="1:3" s="29" customFormat="1" x14ac:dyDescent="0.25">
      <c r="A371" s="56"/>
      <c r="B371" s="59"/>
      <c r="C371" s="59"/>
    </row>
    <row r="372" spans="1:3" s="29" customFormat="1" x14ac:dyDescent="0.25">
      <c r="A372" s="56"/>
      <c r="B372" s="59"/>
      <c r="C372" s="59"/>
    </row>
    <row r="373" spans="1:3" s="29" customFormat="1" x14ac:dyDescent="0.25">
      <c r="A373" s="56"/>
      <c r="B373" s="59"/>
      <c r="C373" s="59"/>
    </row>
    <row r="374" spans="1:3" s="29" customFormat="1" x14ac:dyDescent="0.25">
      <c r="A374" s="56"/>
      <c r="B374" s="59"/>
      <c r="C374" s="59"/>
    </row>
    <row r="375" spans="1:3" s="29" customFormat="1" x14ac:dyDescent="0.25">
      <c r="A375" s="56"/>
      <c r="B375" s="59"/>
      <c r="C375" s="59"/>
    </row>
    <row r="376" spans="1:3" x14ac:dyDescent="0.25">
      <c r="A376" s="60" t="s">
        <v>20</v>
      </c>
      <c r="B376" s="53">
        <v>44044</v>
      </c>
      <c r="C376" s="54" t="str">
        <f>VLOOKUP(A376,'August 2020'!$F$3:$G$12,2,FALSE)</f>
        <v xml:space="preserve">Overall, we are seeing improvement in the level of activity in the short term. Backlog of orders is inconsistent. </v>
      </c>
    </row>
    <row r="377" spans="1:3" s="29" customFormat="1" x14ac:dyDescent="0.25">
      <c r="A377" s="60"/>
      <c r="B377" s="53">
        <v>44075</v>
      </c>
      <c r="C377" s="54" t="str">
        <f>VLOOKUP(A376,'September 2020'!$F$3:$G$12,2,FALSE)</f>
        <v xml:space="preserve">Interesting business cycle: Labor is still in short supply, and work orders are picking up. </v>
      </c>
    </row>
    <row r="378" spans="1:3" s="29" customFormat="1" x14ac:dyDescent="0.25">
      <c r="A378" s="60"/>
      <c r="B378" s="53">
        <v>44105</v>
      </c>
      <c r="C378" s="54" t="str">
        <f>VLOOKUP(A376,'October 2020'!$F$3:$G$12,2,FALSE)</f>
        <v xml:space="preserve">Interesting business cycle: Labor is still in short supply, and work orders are picking up. </v>
      </c>
    </row>
    <row r="379" spans="1:3" s="29" customFormat="1" x14ac:dyDescent="0.25">
      <c r="A379" s="60"/>
      <c r="B379" s="53">
        <v>44136</v>
      </c>
      <c r="C379" s="54" t="str">
        <f>VLOOKUP(A376,'November 2020'!$F$3:$G$12,2,FALSE)</f>
        <v xml:space="preserve">Business is pushing to complete projects due to seasonality in most of our markets. Volume is strong at this point but will gradually slow as temperatures drop in most of the country. </v>
      </c>
    </row>
    <row r="380" spans="1:3" s="29" customFormat="1" x14ac:dyDescent="0.25">
      <c r="A380" s="60"/>
      <c r="B380" s="53">
        <v>44166</v>
      </c>
      <c r="C380" s="54" t="str">
        <f>VLOOKUP(A376,'December 2020'!$F$3:$G$11,2,FALSE)</f>
        <v xml:space="preserve">Lack of labor continues to be a significant drag on the business. We have plenty of work but are now considering rejecting some orders due to shrinking capacity. </v>
      </c>
    </row>
    <row r="381" spans="1:3" s="29" customFormat="1" x14ac:dyDescent="0.25">
      <c r="A381" s="60"/>
      <c r="B381" s="53">
        <v>44197</v>
      </c>
      <c r="C381" s="54" t="str">
        <f>VLOOKUP(A376,'January 2021'!$F$3:$G$14,2,FALSE)</f>
        <v xml:space="preserve">Orders for new business have picked up. Labor is still the major impediment to the business. </v>
      </c>
    </row>
    <row r="382" spans="1:3" s="29" customFormat="1" x14ac:dyDescent="0.25">
      <c r="A382" s="60"/>
      <c r="B382" s="53">
        <v>44228</v>
      </c>
      <c r="C382" s="54" t="str">
        <f>VLOOKUP(A376,'February 2021'!$F$4:$G$15,2,FALSE)</f>
        <v xml:space="preserve">Sales of residential real estate continue to be strong, even outstripping supply. Cost inflation in building materials seen as shortages develop from sporadic COVID-19 closures at manufacturing facilities. Port congestion on the West Coast [and] winter weather in Canada closing mills and restricting truck shipping are contributing to product shortages nationwide. </v>
      </c>
    </row>
    <row r="383" spans="1:3" s="29" customFormat="1" x14ac:dyDescent="0.25">
      <c r="A383" s="60"/>
      <c r="B383" s="53">
        <v>44256</v>
      </c>
      <c r="C383" s="54" t="str">
        <f>VLOOKUP(A376,'March 2021'!$F$2:$G$13,2,FALSE)</f>
        <v xml:space="preserve">“Residential new home construction demand continues to outpace supply. Building material delays, discontinuations and shortages are beginning to develop. Shipping delays at the L.A. and Long Beach ports have contributed to longer lead times. Cold weather in Texas has hurt several component manufacturers for building materials. We have encountered the ‘perfect storm’ for building material shortages and price increases.” </v>
      </c>
    </row>
    <row r="384" spans="1:3" s="29" customFormat="1" x14ac:dyDescent="0.25">
      <c r="A384" s="60"/>
      <c r="B384" s="53">
        <v>44287</v>
      </c>
      <c r="C384" s="54" t="str">
        <f>VLOOKUP(A376,'April 2021'!$F$2:$G$13,2,FALSE)</f>
        <v xml:space="preserve">Consistent with the past year, labor continues to be the biggest issue we are facing. Finding and retaining labor — skilled and unskilled — is highly challenging and frustrating. As the challenges continue, we are not accepting all the work that we could if we had the labor. </v>
      </c>
    </row>
    <row r="385" spans="1:3" s="29" customFormat="1" ht="30" x14ac:dyDescent="0.25">
      <c r="A385" s="60"/>
      <c r="B385" s="53">
        <v>44317</v>
      </c>
      <c r="C385" s="54" t="str">
        <f>VLOOKUP(A376,'May 2021'!$F$2:$G$13,2,FALSE)</f>
        <v xml:space="preserve">We are still busy and adding employees. One of the biggest concerns now is shortages of crucial material and equipment. Metal coils for production are especially scarce. Equipment and material suppliers have been raising prices since the first of the year. We hear of a new increase almost daily. </v>
      </c>
    </row>
    <row r="386" spans="1:3" s="29" customFormat="1" x14ac:dyDescent="0.25">
      <c r="A386" s="60"/>
      <c r="B386" s="53">
        <v>44348</v>
      </c>
      <c r="C386" s="54" t="str">
        <f>VLOOKUP(A376,'June 2021 '!$F$2:$G$12,2,FALSE)</f>
        <v xml:space="preserve">COVID-19 continues to cause troubles for all of our deliveries, as well as short supply a lot of materials. (Shortages of) lumber, copper, and steel continue, which is driving up pricing and lead times. </v>
      </c>
    </row>
    <row r="387" spans="1:3" s="29" customFormat="1" ht="30" x14ac:dyDescent="0.25">
      <c r="A387" s="60"/>
      <c r="B387" s="53">
        <v>44378</v>
      </c>
      <c r="C387" s="54" t="str">
        <f>VLOOKUP(A376,'July 2021'!$F$8:$G$17,2,FALSE)</f>
        <v xml:space="preserve">Costs have risen dramatically in the last 45 days. Lodging, fuel, travel and supplies are all rising sharply. Costs for available labor are also rising, as demand increases in a diminished labor pool. </v>
      </c>
    </row>
    <row r="388" spans="1:3" s="29" customFormat="1" x14ac:dyDescent="0.25">
      <c r="A388" s="60"/>
      <c r="B388" s="53">
        <v>44409</v>
      </c>
      <c r="C388" s="54" t="str">
        <f>VLOOKUP(A376,'August 2021'!$F$2:$G$14,2,FALSE)</f>
        <v xml:space="preserve">Material and labor shortages continue to hinder productivity. Price increases are ever-present and repetitive. Large, multinational manufacturers have had multiple price increases in the last three months. </v>
      </c>
    </row>
    <row r="389" spans="1:3" s="29" customFormat="1" x14ac:dyDescent="0.25">
      <c r="A389" s="60"/>
      <c r="B389" s="53">
        <v>44440</v>
      </c>
      <c r="C389" s="54" t="str">
        <f>VLOOKUP(A376,'September 2021'!$F$3:$G$16,2,FALSE)</f>
        <v xml:space="preserve">Constraints on logistics from a cost and availability standpoint continue to be an issue. </v>
      </c>
    </row>
    <row r="390" spans="1:3" s="29" customFormat="1" x14ac:dyDescent="0.25">
      <c r="A390" s="60"/>
      <c r="B390" s="53">
        <v>44470</v>
      </c>
      <c r="C390" s="54" t="str">
        <f>VLOOKUP(A376,'October 2021'!$F$3:$G$13,2,FALSE)</f>
        <v xml:space="preserve">Supply chain disruptions continue to roil new residential construction. Material and skilled labor shortages are lengthening cycle times and forcing substitutions. </v>
      </c>
    </row>
    <row r="391" spans="1:3" s="29" customFormat="1" x14ac:dyDescent="0.25">
      <c r="A391" s="60"/>
      <c r="B391" s="53">
        <v>44501</v>
      </c>
      <c r="C391" s="54" t="str">
        <f>VLOOKUP(A376,'November 2021'!$F$3:$G$14,2,FALSE)</f>
        <v xml:space="preserve">Construction material shortages and longer lead times continue to hamper operations. Significant cost increases from labor and freight are forecast for the start of next year. </v>
      </c>
    </row>
    <row r="392" spans="1:3" s="29" customFormat="1" x14ac:dyDescent="0.25">
      <c r="A392" s="60"/>
      <c r="B392" s="53">
        <v>44531</v>
      </c>
      <c r="C392" s="54" t="str">
        <f>VLOOKUP(A376,'December 2021'!$F$2:$G$12,2,FALSE)</f>
        <v xml:space="preserve">The escalation in costs for materials, fuel, labor, lodging and the like continues to negatively impact margins in an unsustainable direction. </v>
      </c>
    </row>
    <row r="393" spans="1:3" s="29" customFormat="1" ht="30" x14ac:dyDescent="0.25">
      <c r="A393" s="60"/>
      <c r="B393" s="53">
        <v>44562</v>
      </c>
      <c r="C393" s="54" t="str">
        <f>VLOOKUP(A376,'January 2022'!$F$3:$G$13,2,FALSE)</f>
        <v xml:space="preserve">“Costs have escalated to what we believe are unsustainable levels. Available labor is nonexistent, so we have cut staffing and are taking on fewer projects temporarily in an attempt to reduce cost. Outsourcing where possible. We are not optimistic at this time.” </v>
      </c>
    </row>
    <row r="394" spans="1:3" s="29" customFormat="1" ht="30" x14ac:dyDescent="0.25">
      <c r="A394" s="60"/>
      <c r="B394" s="53">
        <v>44593</v>
      </c>
      <c r="C394" s="54" t="str">
        <f>VLOOKUP(A376,'February 2022'!$F$4:$G$13,2,FALSE)</f>
        <v xml:space="preserve">“We are getting price increases with no notice. For example, our engineered wood products supplier gave us a 10 percent to 20 percent (based on SKU) increase, effective immediately. We are also struggling to get materials. Suppliers cite poor employee attendance, elevated employee turnover and positions open longer than normal as they struggle to fill them.” </v>
      </c>
    </row>
    <row r="395" spans="1:3" s="29" customFormat="1" x14ac:dyDescent="0.25">
      <c r="A395" s="60"/>
      <c r="B395" s="53">
        <v>44621</v>
      </c>
      <c r="C395" s="54" t="str">
        <f>VLOOKUP(A376,'March 2022'!$E$3:$F$13,2,FALSE)</f>
        <v xml:space="preserve">Pricing pressures are stronger than ever due to the Russia-Ukraine [war], and energy costs are skyrocketing. </v>
      </c>
    </row>
    <row r="396" spans="1:3" s="29" customFormat="1" x14ac:dyDescent="0.25">
      <c r="A396" s="60"/>
      <c r="B396" s="55"/>
      <c r="C396" s="55"/>
    </row>
    <row r="397" spans="1:3" s="29" customFormat="1" x14ac:dyDescent="0.25">
      <c r="A397" s="60"/>
      <c r="B397" s="55"/>
      <c r="C397" s="55"/>
    </row>
    <row r="398" spans="1:3" s="29" customFormat="1" x14ac:dyDescent="0.25">
      <c r="A398" s="60"/>
      <c r="B398" s="55"/>
      <c r="C398" s="55"/>
    </row>
    <row r="399" spans="1:3" s="29" customFormat="1" x14ac:dyDescent="0.25">
      <c r="A399" s="60"/>
      <c r="B399" s="55"/>
      <c r="C399" s="55"/>
    </row>
    <row r="400" spans="1:3" s="29" customFormat="1" x14ac:dyDescent="0.25">
      <c r="A400" s="60"/>
      <c r="B400" s="55"/>
      <c r="C400" s="55"/>
    </row>
    <row r="401" spans="1:3" s="29" customFormat="1" x14ac:dyDescent="0.25">
      <c r="A401" s="60"/>
      <c r="B401" s="55"/>
      <c r="C401" s="55"/>
    </row>
    <row r="402" spans="1:3" s="29" customFormat="1" x14ac:dyDescent="0.25">
      <c r="A402" s="60"/>
      <c r="B402" s="55"/>
      <c r="C402" s="55"/>
    </row>
    <row r="403" spans="1:3" s="29" customFormat="1" x14ac:dyDescent="0.25">
      <c r="A403" s="60"/>
      <c r="B403" s="55"/>
      <c r="C403" s="55"/>
    </row>
    <row r="404" spans="1:3" s="29" customFormat="1" x14ac:dyDescent="0.25">
      <c r="A404" s="60"/>
      <c r="B404" s="55"/>
      <c r="C404" s="55"/>
    </row>
    <row r="405" spans="1:3" s="29" customFormat="1" x14ac:dyDescent="0.25">
      <c r="A405" s="60"/>
      <c r="B405" s="55"/>
      <c r="C405" s="55"/>
    </row>
    <row r="406" spans="1:3" s="29" customFormat="1" x14ac:dyDescent="0.25">
      <c r="A406" s="60"/>
      <c r="B406" s="55"/>
      <c r="C406" s="55"/>
    </row>
    <row r="407" spans="1:3" x14ac:dyDescent="0.25">
      <c r="A407" s="56" t="s">
        <v>27</v>
      </c>
      <c r="B407" s="57">
        <v>44044</v>
      </c>
      <c r="C407" s="58" t="str">
        <f>VLOOKUP(A407,'August 2020'!$F$3:$G$12,2,FALSE)</f>
        <v xml:space="preserve">Continuing pandemic uncertainties are challenging abilities to prepare for fall semester activities, resumption of in-person instruction and the research enterprise. Recent decision to provide all undergraduate instruction online has shifted priorities significantly, including reduced need for testing and increased need for remote teaching infrastructure. </v>
      </c>
    </row>
    <row r="408" spans="1:3" s="29" customFormat="1" x14ac:dyDescent="0.25">
      <c r="A408" s="56"/>
      <c r="B408" s="57">
        <v>44075</v>
      </c>
      <c r="C408" s="58" t="str">
        <f>VLOOKUP(A407,'September 2020'!$F$3:$G$12,2,FALSE)</f>
        <v xml:space="preserve">Challenges to maintain safety and prevent the spread of COVID-19 has meant changes in the way activities are carried out. Purchases of personal protective equipment [PPE] and facilities equipment along with modifications to buildings and walkways has led to higher spending in some areas. </v>
      </c>
    </row>
    <row r="409" spans="1:3" s="29" customFormat="1" x14ac:dyDescent="0.25">
      <c r="A409" s="56"/>
      <c r="B409" s="57">
        <v>44105</v>
      </c>
      <c r="C409" s="58" t="str">
        <f>VLOOKUP(A407,'October 2020'!$F$3:$G$12,2,FALSE)</f>
        <v xml:space="preserve">Challenges to maintain safety and prevent the spread of COVID-19 has meant changes in the way activities are carried out. Purchases of personal protective equipment [PPE] and facilities equipment along with modifications to buildings and walkways has led to higher spending in some areas. </v>
      </c>
    </row>
    <row r="410" spans="1:3" s="29" customFormat="1" x14ac:dyDescent="0.25">
      <c r="A410" s="56"/>
      <c r="B410" s="57">
        <v>44136</v>
      </c>
      <c r="C410" s="58" t="str">
        <f>VLOOKUP(A407,'November 2020'!$F$3:$G$12,2,FALSE)</f>
        <v xml:space="preserve">Recent spike in the infection rates of COVID-19 have caused us to pause plans to further reopen our campus. Sourcing for the resumption and expanded use of onsite testing of students and staff along with concerns over possible personal protective equipment [PPE] shortages occupy most staff meetings. </v>
      </c>
    </row>
    <row r="411" spans="1:3" s="29" customFormat="1" x14ac:dyDescent="0.25">
      <c r="A411" s="56"/>
      <c r="B411" s="57">
        <v>44166</v>
      </c>
      <c r="C411" s="58" t="str">
        <f>VLOOKUP(A407,'December 2020'!$F$3:$G$11,2,FALSE)</f>
        <v xml:space="preserve">Continued local and state shutdowns negatively impacting a variety of operations. Notably, shipping delays are beginning to affect operations as [parcel companies] all struggle under the strain of holiday-shipping demand. Construction and services continue to also be challenged, as COVID-19 infections become more pervasive with workers calling out to quarantine, etc. </v>
      </c>
    </row>
    <row r="412" spans="1:3" s="29" customFormat="1" x14ac:dyDescent="0.25">
      <c r="A412" s="56"/>
      <c r="B412" s="57">
        <v>44197</v>
      </c>
      <c r="C412" s="58" t="str">
        <f>VLOOKUP(A407,'January 2021'!$F$3:$G$14,2,FALSE)</f>
        <v xml:space="preserve">Seasonal reduction of activity due to winter break from campus activity. </v>
      </c>
    </row>
    <row r="413" spans="1:3" s="29" customFormat="1" x14ac:dyDescent="0.25">
      <c r="A413" s="56"/>
      <c r="B413" s="57">
        <v>44228</v>
      </c>
      <c r="C413" s="58" t="str">
        <f>VLOOKUP(A407,'February 2021'!$F$4:$G$15,2,FALSE)</f>
        <v xml:space="preserve">COVID-19 restrictions continue to affect the number of students either applying to college, living on campus or finding alternative means of a valuable education. As such, revenues have decreased while expenses increased. </v>
      </c>
    </row>
    <row r="414" spans="1:3" s="29" customFormat="1" x14ac:dyDescent="0.25">
      <c r="A414" s="56"/>
      <c r="B414" s="57">
        <v>44256</v>
      </c>
      <c r="C414" s="58" t="str">
        <f>VLOOKUP(A407,'March 2021'!$F$2:$G$13,2,FALSE)</f>
        <v xml:space="preserve">“There is optimism in higher education that Fall 2021 will be near normal with vaccinated students, employees and staff returning to their roles on campus.” </v>
      </c>
    </row>
    <row r="415" spans="1:3" s="29" customFormat="1" x14ac:dyDescent="0.25">
      <c r="A415" s="56"/>
      <c r="B415" s="57">
        <v>44287</v>
      </c>
      <c r="C415" s="58" t="str">
        <f>VLOOKUP(A407,'April 2021'!$F$2:$G$13,2,FALSE)</f>
        <v xml:space="preserve">Higher volume of activity in anticipation of a reopening of the campus in the fall of 2021. </v>
      </c>
    </row>
    <row r="416" spans="1:3" s="29" customFormat="1" ht="30" x14ac:dyDescent="0.25">
      <c r="A416" s="56"/>
      <c r="B416" s="57">
        <v>44317</v>
      </c>
      <c r="C416" s="58" t="e">
        <f>VLOOKUP(A407,'May 2021'!$F$2:$G$13,2,FALSE)</f>
        <v>#N/A</v>
      </c>
    </row>
    <row r="417" spans="1:3" s="29" customFormat="1" x14ac:dyDescent="0.25">
      <c r="A417" s="56"/>
      <c r="B417" s="57">
        <v>44348</v>
      </c>
      <c r="C417" s="58" t="str">
        <f>VLOOKUP(A407,'June 2021 '!$F$2:$G$12,2,FALSE)</f>
        <v xml:space="preserve">The declining positive test rates for COVID-19 is already having a significant impact, as virtually all aspects of our operations are picking up rapidly. The summer is normally the slow period, as limited teaching is taking place, but this year, preparations for the fall semester are already underway. </v>
      </c>
    </row>
    <row r="418" spans="1:3" s="29" customFormat="1" ht="30" x14ac:dyDescent="0.25">
      <c r="A418" s="56"/>
      <c r="B418" s="57">
        <v>44378</v>
      </c>
      <c r="C418" s="58" t="e">
        <f>VLOOKUP(A407,'July 2021'!$F$8:$G$17,2,FALSE)</f>
        <v>#N/A</v>
      </c>
    </row>
    <row r="419" spans="1:3" s="29" customFormat="1" x14ac:dyDescent="0.25">
      <c r="A419" s="56"/>
      <c r="B419" s="57">
        <v>44409</v>
      </c>
      <c r="C419" s="58" t="str">
        <f>VLOOKUP(A407,'August 2021'!$F$2:$G$14,2,FALSE)</f>
        <v xml:space="preserve">Budget constraints due to student enrollment (impacted by) COVID-19 restrictions. Outlook to remain flat or little increase. Supply chain constraints with regard to limited supply of computer hardware to fulfill orders. </v>
      </c>
    </row>
    <row r="420" spans="1:3" s="29" customFormat="1" x14ac:dyDescent="0.25">
      <c r="A420" s="56"/>
      <c r="B420" s="57">
        <v>44440</v>
      </c>
      <c r="C420" s="58" t="str">
        <f>VLOOKUP(A407,'September 2021'!$F$3:$G$16,2,FALSE)</f>
        <v xml:space="preserve">Lead times on electronics and computer chips have greatly increased. Outlook for higher education remains flat for most colleges, not including elite and Ivy League institutions. </v>
      </c>
    </row>
    <row r="421" spans="1:3" s="29" customFormat="1" x14ac:dyDescent="0.25">
      <c r="A421" s="56"/>
      <c r="B421" s="57">
        <v>44470</v>
      </c>
      <c r="C421" s="58" t="str">
        <f>VLOOKUP(A407,'October 2021'!$F$3:$G$13,2,FALSE)</f>
        <v xml:space="preserve">Supply chain backorders. We have to forecast six months out for basic supplies and one year for larger international equipment orders. Ivy [League] or elite higher education institutions will fare better than smaller schools, as applicants find alternative sources of education. </v>
      </c>
    </row>
    <row r="422" spans="1:3" s="29" customFormat="1" x14ac:dyDescent="0.25">
      <c r="A422" s="56"/>
      <c r="B422" s="57">
        <v>44501</v>
      </c>
      <c r="C422" s="58" t="str">
        <f>VLOOKUP(A407,'November 2021'!$F$3:$G$14,2,FALSE)</f>
        <v xml:space="preserve">As an institution of higher education, maintaining the safety, health and security of thousands of students, faculty and staff while allowing classes to continue in person and virtually has been a juggling act. We have been faced with multiple shortages on everything from personal protective equipment (PPE) to computers and peripherals, and vehicles. Shipments are taking longer and prices continue to climb, putting additional strain on (already) stressed budgets. </v>
      </c>
    </row>
    <row r="423" spans="1:3" s="29" customFormat="1" x14ac:dyDescent="0.25">
      <c r="A423" s="56"/>
      <c r="B423" s="57">
        <v>44531</v>
      </c>
      <c r="C423" s="58" t="e">
        <f>VLOOKUP(A407,'December 2021'!$F$2:$G$12,2,FALSE)</f>
        <v>#N/A</v>
      </c>
    </row>
    <row r="424" spans="1:3" s="29" customFormat="1" ht="30" x14ac:dyDescent="0.25">
      <c r="A424" s="56"/>
      <c r="B424" s="57">
        <v>44562</v>
      </c>
      <c r="C424" s="58" t="e">
        <f>VLOOKUP(A407,'January 2022'!$F$3:$G$13,2,FALSE)</f>
        <v>#N/A</v>
      </c>
    </row>
    <row r="425" spans="1:3" s="29" customFormat="1" ht="30" x14ac:dyDescent="0.25">
      <c r="A425" s="56"/>
      <c r="B425" s="57">
        <v>44593</v>
      </c>
      <c r="C425" s="58" t="str">
        <f>VLOOKUP(A407,'February 2022'!$F$4:$G$13,2,FALSE)</f>
        <v xml:space="preserve">“Inflation is contributing to budget constraints, supply chain restraints and labor shortages.” </v>
      </c>
    </row>
    <row r="426" spans="1:3" s="29" customFormat="1" x14ac:dyDescent="0.25">
      <c r="A426" s="56"/>
      <c r="B426" s="57">
        <v>44621</v>
      </c>
      <c r="C426" s="58" t="str">
        <f>VLOOKUP(A407,'March 2022'!$E$3:$F$13,2,FALSE)</f>
        <v xml:space="preserve">Labor and inflation continue to push costs higher across the board for food and food-service supplies. </v>
      </c>
    </row>
    <row r="427" spans="1:3" s="29" customFormat="1" x14ac:dyDescent="0.25">
      <c r="A427" s="56"/>
      <c r="B427" s="59"/>
      <c r="C427" s="59"/>
    </row>
    <row r="428" spans="1:3" s="29" customFormat="1" x14ac:dyDescent="0.25">
      <c r="A428" s="56"/>
      <c r="B428" s="59"/>
      <c r="C428" s="59"/>
    </row>
    <row r="429" spans="1:3" s="29" customFormat="1" x14ac:dyDescent="0.25">
      <c r="A429" s="56"/>
      <c r="B429" s="59"/>
      <c r="C429" s="59"/>
    </row>
    <row r="430" spans="1:3" s="29" customFormat="1" x14ac:dyDescent="0.25">
      <c r="A430" s="56"/>
      <c r="B430" s="59"/>
      <c r="C430" s="59"/>
    </row>
    <row r="431" spans="1:3" s="29" customFormat="1" x14ac:dyDescent="0.25">
      <c r="A431" s="56"/>
      <c r="B431" s="59"/>
      <c r="C431" s="59"/>
    </row>
    <row r="432" spans="1:3" s="29" customFormat="1" x14ac:dyDescent="0.25">
      <c r="A432" s="56"/>
      <c r="B432" s="59"/>
      <c r="C432" s="59"/>
    </row>
    <row r="433" spans="1:3" s="29" customFormat="1" x14ac:dyDescent="0.25">
      <c r="A433" s="56"/>
      <c r="B433" s="59"/>
      <c r="C433" s="59"/>
    </row>
    <row r="434" spans="1:3" s="29" customFormat="1" x14ac:dyDescent="0.25">
      <c r="A434" s="56"/>
      <c r="B434" s="59"/>
      <c r="C434" s="59"/>
    </row>
    <row r="435" spans="1:3" s="29" customFormat="1" x14ac:dyDescent="0.25">
      <c r="A435" s="56"/>
      <c r="B435" s="59"/>
      <c r="C435" s="59"/>
    </row>
    <row r="436" spans="1:3" s="29" customFormat="1" x14ac:dyDescent="0.25">
      <c r="A436" s="56"/>
      <c r="B436" s="59"/>
      <c r="C436" s="59"/>
    </row>
    <row r="437" spans="1:3" s="29" customFormat="1" x14ac:dyDescent="0.25">
      <c r="A437" s="56"/>
      <c r="B437" s="59"/>
      <c r="C437" s="59"/>
    </row>
    <row r="438" spans="1:3" x14ac:dyDescent="0.25">
      <c r="A438" s="60" t="s">
        <v>1</v>
      </c>
      <c r="B438" s="53">
        <v>44044</v>
      </c>
      <c r="C438" s="54" t="e">
        <f>VLOOKUP(A438,'August 2020'!$F$3:$G$12,2,FALSE)</f>
        <v>#N/A</v>
      </c>
    </row>
    <row r="439" spans="1:3" s="29" customFormat="1" x14ac:dyDescent="0.25">
      <c r="A439" s="60"/>
      <c r="B439" s="53">
        <v>44075</v>
      </c>
      <c r="C439" s="54" t="e">
        <f>VLOOKUP(A438,'September 2020'!$F$3:$G$12,2,FALSE)</f>
        <v>#N/A</v>
      </c>
    </row>
    <row r="440" spans="1:3" s="29" customFormat="1" x14ac:dyDescent="0.25">
      <c r="A440" s="60"/>
      <c r="B440" s="53">
        <v>44105</v>
      </c>
      <c r="C440" s="54" t="e">
        <f>VLOOKUP(A438,'October 2020'!$F$3:$G$12,2,FALSE)</f>
        <v>#N/A</v>
      </c>
    </row>
    <row r="441" spans="1:3" s="29" customFormat="1" x14ac:dyDescent="0.25">
      <c r="A441" s="60"/>
      <c r="B441" s="53">
        <v>44136</v>
      </c>
      <c r="C441" s="54" t="e">
        <f>VLOOKUP(A438,'November 2020'!$F$3:$G$12,2,FALSE)</f>
        <v>#N/A</v>
      </c>
    </row>
    <row r="442" spans="1:3" s="29" customFormat="1" x14ac:dyDescent="0.25">
      <c r="A442" s="60"/>
      <c r="B442" s="53">
        <v>44166</v>
      </c>
      <c r="C442" s="54" t="e">
        <f>VLOOKUP(A438,'December 2020'!$F$3:$G$11,2,FALSE)</f>
        <v>#N/A</v>
      </c>
    </row>
    <row r="443" spans="1:3" s="29" customFormat="1" x14ac:dyDescent="0.25">
      <c r="A443" s="60"/>
      <c r="B443" s="53">
        <v>44197</v>
      </c>
      <c r="C443" s="54" t="e">
        <f>VLOOKUP(A438,'January 2021'!$F$3:$G$14,2,FALSE)</f>
        <v>#N/A</v>
      </c>
    </row>
    <row r="444" spans="1:3" s="29" customFormat="1" x14ac:dyDescent="0.25">
      <c r="A444" s="60"/>
      <c r="B444" s="53">
        <v>44228</v>
      </c>
      <c r="C444" s="54" t="str">
        <f>VLOOKUP(A438,'February 2021'!$F$4:$G$15,2,FALSE)</f>
        <v xml:space="preserve">The declining COVID-19 cases in the four states we operate in, combined with the increased vaccination rates, should bode well for our increased business activity moving into the second quarter of 2021. </v>
      </c>
    </row>
    <row r="445" spans="1:3" s="29" customFormat="1" x14ac:dyDescent="0.25">
      <c r="A445" s="60"/>
      <c r="B445" s="53">
        <v>44256</v>
      </c>
      <c r="C445" s="54" t="str">
        <f>VLOOKUP(A438,'March 2021'!$F$2:$G$13,2,FALSE)</f>
        <v xml:space="preserve">“Our four Southern California locations are finally open after being closed for 12 months. We are currently experiencing severe supply chain and distribution disruptions related to multiple factors. Reopening of the California and New York movie theater markets [is] creating a surge in demand; also, manufacturers and a distributor partner are dealing with labor shortages.” </v>
      </c>
    </row>
    <row r="446" spans="1:3" s="29" customFormat="1" x14ac:dyDescent="0.25">
      <c r="A446" s="60"/>
      <c r="B446" s="53">
        <v>44287</v>
      </c>
      <c r="C446" s="54" t="e">
        <f>VLOOKUP(A438,'April 2021'!$F$2:$G$13,2,FALSE)</f>
        <v>#N/A</v>
      </c>
    </row>
    <row r="447" spans="1:3" s="29" customFormat="1" ht="30" x14ac:dyDescent="0.25">
      <c r="A447" s="60"/>
      <c r="B447" s="53">
        <v>44317</v>
      </c>
      <c r="C447" s="54" t="str">
        <f>VLOOKUP(A438,'May 2021'!$F$2:$G$13,2,FALSE)</f>
        <v xml:space="preserve">Business continues to improve, and we have worked through many of the supply chain disruptions at this time. We have begun to return to work at our corporate office on a limited basis. </v>
      </c>
    </row>
    <row r="448" spans="1:3" s="29" customFormat="1" x14ac:dyDescent="0.25">
      <c r="A448" s="60"/>
      <c r="B448" s="53">
        <v>44348</v>
      </c>
      <c r="C448" s="54" t="str">
        <f>VLOOKUP(A438,'June 2021 '!$F$2:$G$12,2,FALSE)</f>
        <v xml:space="preserve">Severe supply chain disruptions and inflation are continuing in the marketplace, in all sectors. </v>
      </c>
    </row>
    <row r="449" spans="1:3" s="29" customFormat="1" ht="30" x14ac:dyDescent="0.25">
      <c r="A449" s="60"/>
      <c r="B449" s="53">
        <v>44378</v>
      </c>
      <c r="C449" s="54" t="e">
        <f>VLOOKUP(A438,'July 2021'!$F$8:$G$17,2,FALSE)</f>
        <v>#N/A</v>
      </c>
    </row>
    <row r="450" spans="1:3" s="29" customFormat="1" x14ac:dyDescent="0.25">
      <c r="A450" s="60"/>
      <c r="B450" s="53">
        <v>44409</v>
      </c>
      <c r="C450" s="54" t="e">
        <f>VLOOKUP(A438,'August 2021'!$F$2:$G$14,2,FALSE)</f>
        <v>#N/A</v>
      </c>
    </row>
    <row r="451" spans="1:3" s="29" customFormat="1" x14ac:dyDescent="0.25">
      <c r="A451" s="60"/>
      <c r="B451" s="53">
        <v>44440</v>
      </c>
      <c r="C451" s="54" t="e">
        <f>VLOOKUP(A438,'September 2021'!$F$3:$G$16,2,FALSE)</f>
        <v>#N/A</v>
      </c>
    </row>
    <row r="452" spans="1:3" s="29" customFormat="1" x14ac:dyDescent="0.25">
      <c r="A452" s="60"/>
      <c r="B452" s="53">
        <v>44470</v>
      </c>
      <c r="C452" s="54" t="e">
        <f>VLOOKUP(A438,'October 2021'!$F$3:$G$13,2,FALSE)</f>
        <v>#N/A</v>
      </c>
    </row>
    <row r="453" spans="1:3" s="29" customFormat="1" x14ac:dyDescent="0.25">
      <c r="A453" s="60"/>
      <c r="B453" s="53">
        <v>44501</v>
      </c>
      <c r="C453" s="54" t="str">
        <f>VLOOKUP(A438,'November 2021'!$F$3:$G$14,2,FALSE)</f>
        <v xml:space="preserve">Some food products that we have contracts on have been unavailable. Substitutes are always higher in cost. </v>
      </c>
    </row>
    <row r="454" spans="1:3" s="29" customFormat="1" x14ac:dyDescent="0.25">
      <c r="A454" s="60"/>
      <c r="B454" s="53">
        <v>44531</v>
      </c>
      <c r="C454" s="54" t="e">
        <f>VLOOKUP(A438,'December 2021'!$F$2:$G$12,2,FALSE)</f>
        <v>#N/A</v>
      </c>
    </row>
    <row r="455" spans="1:3" s="29" customFormat="1" ht="30" x14ac:dyDescent="0.25">
      <c r="A455" s="60"/>
      <c r="B455" s="53">
        <v>44562</v>
      </c>
      <c r="C455" s="54" t="e">
        <f>VLOOKUP(A438,'January 2022'!$F$3:$G$13,2,FALSE)</f>
        <v>#N/A</v>
      </c>
    </row>
    <row r="456" spans="1:3" s="29" customFormat="1" ht="30" x14ac:dyDescent="0.25">
      <c r="A456" s="60"/>
      <c r="B456" s="53">
        <v>44593</v>
      </c>
      <c r="C456" s="54" t="str">
        <f>VLOOKUP(A438,'February 2022'!$F$4:$G$13,2,FALSE)</f>
        <v xml:space="preserve">“We are projecting 2022 to be busier than 2021. Our business volume should begin to increase significantly in March.” </v>
      </c>
    </row>
    <row r="457" spans="1:3" s="29" customFormat="1" x14ac:dyDescent="0.25">
      <c r="A457" s="60"/>
      <c r="B457" s="53">
        <v>44621</v>
      </c>
      <c r="C457" s="54" t="e">
        <f>VLOOKUP(A438,'March 2022'!$E$3:$F$13,2,FALSE)</f>
        <v>#N/A</v>
      </c>
    </row>
    <row r="458" spans="1:3" s="29" customFormat="1" x14ac:dyDescent="0.25">
      <c r="A458" s="60"/>
      <c r="B458" s="55"/>
      <c r="C458" s="55"/>
    </row>
    <row r="459" spans="1:3" s="29" customFormat="1" x14ac:dyDescent="0.25">
      <c r="A459" s="60"/>
      <c r="B459" s="55"/>
      <c r="C459" s="55"/>
    </row>
    <row r="460" spans="1:3" s="29" customFormat="1" x14ac:dyDescent="0.25">
      <c r="A460" s="60"/>
      <c r="B460" s="55"/>
      <c r="C460" s="55"/>
    </row>
    <row r="461" spans="1:3" s="29" customFormat="1" x14ac:dyDescent="0.25">
      <c r="A461" s="60"/>
      <c r="B461" s="55"/>
      <c r="C461" s="55"/>
    </row>
    <row r="462" spans="1:3" s="29" customFormat="1" x14ac:dyDescent="0.25">
      <c r="A462" s="60"/>
      <c r="B462" s="55"/>
      <c r="C462" s="55"/>
    </row>
    <row r="463" spans="1:3" s="29" customFormat="1" x14ac:dyDescent="0.25">
      <c r="A463" s="60"/>
      <c r="B463" s="55"/>
      <c r="C463" s="55"/>
    </row>
    <row r="464" spans="1:3" s="29" customFormat="1" x14ac:dyDescent="0.25">
      <c r="A464" s="60"/>
      <c r="B464" s="55"/>
      <c r="C464" s="55"/>
    </row>
    <row r="465" spans="1:3" s="29" customFormat="1" x14ac:dyDescent="0.25">
      <c r="A465" s="60"/>
      <c r="B465" s="55"/>
      <c r="C465" s="55"/>
    </row>
    <row r="466" spans="1:3" s="29" customFormat="1" x14ac:dyDescent="0.25">
      <c r="A466" s="60"/>
      <c r="B466" s="55"/>
      <c r="C466" s="55"/>
    </row>
    <row r="467" spans="1:3" s="29" customFormat="1" x14ac:dyDescent="0.25">
      <c r="A467" s="60"/>
      <c r="B467" s="55"/>
      <c r="C467" s="55"/>
    </row>
    <row r="468" spans="1:3" s="29" customFormat="1" x14ac:dyDescent="0.25">
      <c r="A468" s="60"/>
      <c r="B468" s="55"/>
      <c r="C468" s="55"/>
    </row>
    <row r="469" spans="1:3" x14ac:dyDescent="0.25">
      <c r="A469" s="56" t="s">
        <v>31</v>
      </c>
      <c r="B469" s="57">
        <v>44044</v>
      </c>
      <c r="C469" s="58" t="str">
        <f>VLOOKUP(A469,'August 2020'!$F$3:$G$12,2,FALSE)</f>
        <v xml:space="preserve">Our business activity is now thriving again, after modifications to our operations. While supply disruptions remain common, very critical items are more stable than in previous months. Tariff threats have caused more concern than in previous months due to actions in aluminum, and the rapid rise in lumber costs for construction expansions. </v>
      </c>
    </row>
    <row r="470" spans="1:3" s="29" customFormat="1" x14ac:dyDescent="0.25">
      <c r="A470" s="56"/>
      <c r="B470" s="57">
        <v>44075</v>
      </c>
      <c r="C470" s="58" t="str">
        <f>VLOOKUP(A469,'September 2020'!$F$3:$G$12,2,FALSE)</f>
        <v xml:space="preserve">Business has improved, but greatly reliant on COVID-19-related restrictions. Supplier's inventories and lead times are longer and spotty with outages due to keeping lead times lean as a cash flow measure, but putting consistent supply at risk. </v>
      </c>
    </row>
    <row r="471" spans="1:3" s="29" customFormat="1" x14ac:dyDescent="0.25">
      <c r="A471" s="56"/>
      <c r="B471" s="57">
        <v>44105</v>
      </c>
      <c r="C471" s="58" t="str">
        <f>VLOOKUP(A469,'October 2020'!$F$3:$G$12,2,FALSE)</f>
        <v xml:space="preserve">Business has improved, but greatly reliant on COVID-19-related restrictions. Supplier's inventories and lead times are longer and spotty with outages due to keeping lead times lean as a cash flow measure, but putting consistent supply at risk. </v>
      </c>
    </row>
    <row r="472" spans="1:3" s="29" customFormat="1" x14ac:dyDescent="0.25">
      <c r="A472" s="56"/>
      <c r="B472" s="57">
        <v>44136</v>
      </c>
      <c r="C472" s="58" t="str">
        <f>VLOOKUP(A469,'November 2020'!$F$3:$G$12,2,FALSE)</f>
        <v xml:space="preserve">Conflicting national, regional, and local guidelines/requirements for COVID-19 issues are becoming increasingly difficult to navigate, leading to a lot of just in time (JIT)-type purchases. </v>
      </c>
    </row>
    <row r="473" spans="1:3" s="29" customFormat="1" x14ac:dyDescent="0.25">
      <c r="A473" s="56"/>
      <c r="B473" s="57">
        <v>44166</v>
      </c>
      <c r="C473" s="58" t="str">
        <f>VLOOKUP(A469,'December 2020'!$F$3:$G$11,2,FALSE)</f>
        <v xml:space="preserve">Starting to see demand weakening as states go back to shut down. Will look to see business resume in late first quarter, as vaccine distribution takes place. </v>
      </c>
    </row>
    <row r="474" spans="1:3" s="29" customFormat="1" x14ac:dyDescent="0.25">
      <c r="A474" s="56"/>
      <c r="B474" s="57">
        <v>44197</v>
      </c>
      <c r="C474" s="58" t="str">
        <f>VLOOKUP(A469,'January 2021'!$F$3:$G$14,2,FALSE)</f>
        <v xml:space="preserve">Many of our restaurant locations remain completely shut down to on-site dining. We remain optimistic about business trends beyond April/May 2021. [We] have a very challenging few months to go. </v>
      </c>
    </row>
    <row r="475" spans="1:3" s="29" customFormat="1" x14ac:dyDescent="0.25">
      <c r="A475" s="56"/>
      <c r="B475" s="57">
        <v>44228</v>
      </c>
      <c r="C475" s="58" t="str">
        <f>VLOOKUP(A469,'February 2021'!$F$4:$G$15,2,FALSE)</f>
        <v xml:space="preserve">Suppliers are taking the opportunity with the commodity-price increases in the last few months to propose price increases that are above and beyond normal expectations, causing significant concern. Business growth remains optimistic on the emergence of a post-coronavirus [COVID-19] era in [the] second half of 2021. U.S. port delays are problematic. </v>
      </c>
    </row>
    <row r="476" spans="1:3" s="29" customFormat="1" x14ac:dyDescent="0.25">
      <c r="A476" s="56"/>
      <c r="B476" s="57">
        <v>44256</v>
      </c>
      <c r="C476" s="58" t="str">
        <f>VLOOKUP(A469,'March 2021'!$F$2:$G$13,2,FALSE)</f>
        <v xml:space="preserve">“Logistics delays and uncertainty are creating significant problems with suppliers and inventories. Also, [there are] cost concerns regarding inflated pricing due to logistics and shortages.” </v>
      </c>
    </row>
    <row r="477" spans="1:3" s="29" customFormat="1" x14ac:dyDescent="0.25">
      <c r="A477" s="56"/>
      <c r="B477" s="57">
        <v>44287</v>
      </c>
      <c r="C477" s="58" t="str">
        <f>VLOOKUP(A469,'April 2021'!$F$2:$G$13,2,FALSE)</f>
        <v xml:space="preserve">Restaurant capacity is increasing quickly as restrictions are removed. Consumers have pent-up demand; sales are increasing, and the labor pool is tight. Supply chain is challenged at every level as businesses across the U.S. ramp up. </v>
      </c>
    </row>
    <row r="478" spans="1:3" s="29" customFormat="1" ht="30" x14ac:dyDescent="0.25">
      <c r="A478" s="56"/>
      <c r="B478" s="57">
        <v>44317</v>
      </c>
      <c r="C478" s="58" t="str">
        <f>VLOOKUP(A469,'May 2021'!$F$2:$G$13,2,FALSE)</f>
        <v xml:space="preserve">Stimulus money, increased vaccinations, increased dining capacity and pent-up demand are driving a fast recovery for dine-in restaurants — and all consumer segments, it seems — resulting in labor shortages and supply chain gaps. </v>
      </c>
    </row>
    <row r="479" spans="1:3" s="29" customFormat="1" x14ac:dyDescent="0.25">
      <c r="A479" s="56"/>
      <c r="B479" s="57">
        <v>44348</v>
      </c>
      <c r="C479" s="58" t="str">
        <f>VLOOKUP(A469,'June 2021 '!$F$2:$G$12,2,FALSE)</f>
        <v xml:space="preserve">Our restaurants are quickly — maybe too quickly — returning to 2019 sales levels. Strong consumer demand for dining out is clearly evident as COVID-19 restrictions ease, but the challenges are supply chain outages, logistics delays and employee- and management-staffing constraints. Some locations cannot open for business or (have) limited hours, as we cannot staff the restaurant to meet consumer demand. </v>
      </c>
    </row>
    <row r="480" spans="1:3" s="29" customFormat="1" ht="30" x14ac:dyDescent="0.25">
      <c r="A480" s="56"/>
      <c r="B480" s="57">
        <v>44378</v>
      </c>
      <c r="C480" s="58" t="str">
        <f>VLOOKUP(A469,'July 2021'!$F$8:$G$17,2,FALSE)</f>
        <v xml:space="preserve">Peak demand while still facing challenges filling open positions. </v>
      </c>
    </row>
    <row r="481" spans="1:3" s="29" customFormat="1" x14ac:dyDescent="0.25">
      <c r="A481" s="56"/>
      <c r="B481" s="57">
        <v>44409</v>
      </c>
      <c r="C481" s="58" t="str">
        <f>VLOOKUP(A469,'August 2021'!$F$2:$G$14,2,FALSE)</f>
        <v xml:space="preserve">Supply chain disruptions — including manufacturing-labor shortages, logistics delays and lack of material to make products — are significantly disrupting our business. </v>
      </c>
    </row>
    <row r="482" spans="1:3" s="29" customFormat="1" x14ac:dyDescent="0.25">
      <c r="A482" s="56"/>
      <c r="B482" s="57">
        <v>44440</v>
      </c>
      <c r="C482" s="58" t="str">
        <f>VLOOKUP(A469,'September 2021'!$F$3:$G$16,2,FALSE)</f>
        <v xml:space="preserve">Transportation bottlenecks are increasing, resulting in longer lead times and missed appointments. </v>
      </c>
    </row>
    <row r="483" spans="1:3" s="29" customFormat="1" x14ac:dyDescent="0.25">
      <c r="A483" s="56"/>
      <c r="B483" s="57">
        <v>44470</v>
      </c>
      <c r="C483" s="58" t="str">
        <f>VLOOKUP(A469,'October 2021'!$F$3:$G$13,2,FALSE)</f>
        <v xml:space="preserve">Manufacturers are failing to keep up with orders, and backlogs continue to grow. We've seen proposed pricing increases of more than 20 percent in areas of equipment manufacturing. This is extremely concerning. </v>
      </c>
    </row>
    <row r="484" spans="1:3" s="29" customFormat="1" x14ac:dyDescent="0.25">
      <c r="A484" s="56"/>
      <c r="B484" s="57">
        <v>44501</v>
      </c>
      <c r="C484" s="58" t="str">
        <f>VLOOKUP(A469,'November 2021'!$F$3:$G$14,2,FALSE)</f>
        <v xml:space="preserve">Labor shortages, transportation delays and supply constraints/allocations. </v>
      </c>
    </row>
    <row r="485" spans="1:3" s="29" customFormat="1" x14ac:dyDescent="0.25">
      <c r="A485" s="56"/>
      <c r="B485" s="57">
        <v>44531</v>
      </c>
      <c r="C485" s="58" t="str">
        <f>VLOOKUP(A469,'December 2021'!$F$2:$G$12,2,FALSE)</f>
        <v xml:space="preserve">Supply chain challenges to procure supplies for our restaurants remains our greatest obstacle at present, along with staffing needs. We are considering another price increase after just one in 2021, in August. </v>
      </c>
    </row>
    <row r="486" spans="1:3" s="29" customFormat="1" ht="30" x14ac:dyDescent="0.25">
      <c r="A486" s="56"/>
      <c r="B486" s="57">
        <v>44562</v>
      </c>
      <c r="C486" s="58" t="str">
        <f>VLOOKUP(A469,'January 2022'!$F$3:$G$13,2,FALSE)</f>
        <v xml:space="preserve">“Supply constraints and outages persist. With mechanical component parts, the problems are severe. We are finding widespread depletion of field service part inventories to sustain factory production of new product orders. The inability to satisfy replacement part demand creates tremendous operational risk.” </v>
      </c>
    </row>
    <row r="487" spans="1:3" s="29" customFormat="1" ht="30" x14ac:dyDescent="0.25">
      <c r="A487" s="56"/>
      <c r="B487" s="57">
        <v>44593</v>
      </c>
      <c r="C487" s="58" t="str">
        <f>VLOOKUP(A469,'February 2022'!$F$4:$G$13,2,FALSE)</f>
        <v xml:space="preserve">“Raw material increases, labor shortages, wage increases and transportation issues are still the primary issues affecting our operations and pricing.” </v>
      </c>
    </row>
    <row r="488" spans="1:3" s="29" customFormat="1" x14ac:dyDescent="0.25">
      <c r="A488" s="56"/>
      <c r="B488" s="57">
        <v>44621</v>
      </c>
      <c r="C488" s="58" t="str">
        <f>VLOOKUP(A469,'March 2022'!$E$3:$F$13,2,FALSE)</f>
        <v xml:space="preserve">Supply chain challenges continue at about the same levels as last month. Employment has improved as COVID-19 cases are declining. Restaurant sales have improved since Valentine's Day, with mask and vaccine verification mandates being dropped. </v>
      </c>
    </row>
    <row r="489" spans="1:3" s="29" customFormat="1" x14ac:dyDescent="0.25">
      <c r="A489" s="56"/>
      <c r="B489" s="59"/>
      <c r="C489" s="59"/>
    </row>
    <row r="490" spans="1:3" s="29" customFormat="1" x14ac:dyDescent="0.25">
      <c r="A490" s="56"/>
      <c r="B490" s="59"/>
      <c r="C490" s="59"/>
    </row>
    <row r="491" spans="1:3" s="29" customFormat="1" x14ac:dyDescent="0.25">
      <c r="A491" s="56"/>
      <c r="B491" s="59"/>
      <c r="C491" s="59"/>
    </row>
    <row r="492" spans="1:3" s="29" customFormat="1" x14ac:dyDescent="0.25">
      <c r="A492" s="56"/>
      <c r="B492" s="59"/>
      <c r="C492" s="59"/>
    </row>
    <row r="493" spans="1:3" s="29" customFormat="1" x14ac:dyDescent="0.25">
      <c r="A493" s="56"/>
      <c r="B493" s="59"/>
      <c r="C493" s="59"/>
    </row>
    <row r="494" spans="1:3" s="29" customFormat="1" x14ac:dyDescent="0.25">
      <c r="A494" s="56"/>
      <c r="B494" s="59"/>
      <c r="C494" s="59"/>
    </row>
    <row r="495" spans="1:3" s="29" customFormat="1" x14ac:dyDescent="0.25">
      <c r="A495" s="56"/>
      <c r="B495" s="59"/>
      <c r="C495" s="59"/>
    </row>
    <row r="496" spans="1:3" s="29" customFormat="1" x14ac:dyDescent="0.25">
      <c r="A496" s="56"/>
      <c r="B496" s="59"/>
      <c r="C496" s="59"/>
    </row>
    <row r="497" spans="1:3" s="29" customFormat="1" x14ac:dyDescent="0.25">
      <c r="A497" s="56"/>
      <c r="B497" s="59"/>
      <c r="C497" s="59"/>
    </row>
    <row r="498" spans="1:3" s="29" customFormat="1" x14ac:dyDescent="0.25">
      <c r="A498" s="56"/>
      <c r="B498" s="59"/>
      <c r="C498" s="59"/>
    </row>
    <row r="499" spans="1:3" s="29" customFormat="1" x14ac:dyDescent="0.25">
      <c r="A499" s="56"/>
      <c r="B499" s="59"/>
      <c r="C499" s="59"/>
    </row>
    <row r="500" spans="1:3" x14ac:dyDescent="0.25">
      <c r="A500" s="60" t="s">
        <v>18</v>
      </c>
      <c r="B500" s="53">
        <v>44044</v>
      </c>
      <c r="C500" s="54" t="e">
        <f>VLOOKUP(A500,'August 2020'!$F$3:$G$12,2,FALSE)</f>
        <v>#N/A</v>
      </c>
    </row>
    <row r="501" spans="1:3" s="29" customFormat="1" x14ac:dyDescent="0.25">
      <c r="A501" s="60"/>
      <c r="B501" s="53">
        <v>44075</v>
      </c>
      <c r="C501" s="54" t="e">
        <f>VLOOKUP(A500,'September 2020'!$F$3:$G$12,2,FALSE)</f>
        <v>#N/A</v>
      </c>
    </row>
    <row r="502" spans="1:3" s="29" customFormat="1" x14ac:dyDescent="0.25">
      <c r="A502" s="60"/>
      <c r="B502" s="53">
        <v>44105</v>
      </c>
      <c r="C502" s="54" t="e">
        <f>VLOOKUP(A500,'October 2020'!$F$3:$G$12,2,FALSE)</f>
        <v>#N/A</v>
      </c>
    </row>
    <row r="503" spans="1:3" s="29" customFormat="1" x14ac:dyDescent="0.25">
      <c r="A503" s="60"/>
      <c r="B503" s="53">
        <v>44136</v>
      </c>
      <c r="C503" s="54" t="e">
        <f>VLOOKUP(A500,'November 2020'!$F$3:$G$12,2,FALSE)</f>
        <v>#N/A</v>
      </c>
    </row>
    <row r="504" spans="1:3" s="29" customFormat="1" x14ac:dyDescent="0.25">
      <c r="A504" s="60"/>
      <c r="B504" s="53">
        <v>44166</v>
      </c>
      <c r="C504" s="54" t="e">
        <f>VLOOKUP(A500,'December 2020'!$F$3:$G$11,2,FALSE)</f>
        <v>#N/A</v>
      </c>
    </row>
    <row r="505" spans="1:3" s="29" customFormat="1" x14ac:dyDescent="0.25">
      <c r="A505" s="60"/>
      <c r="B505" s="53">
        <v>44197</v>
      </c>
      <c r="C505" s="54" t="str">
        <f>VLOOKUP(A500,'January 2021'!$F$3:$G$14,2,FALSE)</f>
        <v xml:space="preserve">Overall, everything continues to be more optimistic; however, we are still seeing impacts from suppliers that are being affected by limiting staff due to COVID-19 restrictions. </v>
      </c>
    </row>
    <row r="506" spans="1:3" s="29" customFormat="1" x14ac:dyDescent="0.25">
      <c r="A506" s="60"/>
      <c r="B506" s="53">
        <v>44228</v>
      </c>
      <c r="C506" s="54" t="e">
        <f>VLOOKUP(A500,'February 2021'!$F$4:$G$15,2,FALSE)</f>
        <v>#N/A</v>
      </c>
    </row>
    <row r="507" spans="1:3" s="29" customFormat="1" x14ac:dyDescent="0.25">
      <c r="A507" s="60"/>
      <c r="B507" s="53">
        <v>44256</v>
      </c>
      <c r="C507" s="54" t="e">
        <f>VLOOKUP(A500,'March 2021'!$F$2:$G$13,2,FALSE)</f>
        <v>#N/A</v>
      </c>
    </row>
    <row r="508" spans="1:3" s="29" customFormat="1" x14ac:dyDescent="0.25">
      <c r="A508" s="60"/>
      <c r="B508" s="53">
        <v>44287</v>
      </c>
      <c r="C508" s="54" t="e">
        <f>VLOOKUP(A500,'April 2021'!$F$2:$G$13,2,FALSE)</f>
        <v>#N/A</v>
      </c>
    </row>
    <row r="509" spans="1:3" s="29" customFormat="1" ht="30" x14ac:dyDescent="0.25">
      <c r="A509" s="60"/>
      <c r="B509" s="53">
        <v>44317</v>
      </c>
      <c r="C509" s="54" t="e">
        <f>VLOOKUP(A500,'May 2021'!$F$2:$G$13,2,FALSE)</f>
        <v>#N/A</v>
      </c>
    </row>
    <row r="510" spans="1:3" s="29" customFormat="1" x14ac:dyDescent="0.25">
      <c r="A510" s="60"/>
      <c r="B510" s="53">
        <v>44348</v>
      </c>
      <c r="C510" s="54" t="e">
        <f>VLOOKUP(A500,'June 2021 '!$F$2:$G$12,2,FALSE)</f>
        <v>#N/A</v>
      </c>
    </row>
    <row r="511" spans="1:3" s="29" customFormat="1" ht="30" x14ac:dyDescent="0.25">
      <c r="A511" s="60"/>
      <c r="B511" s="53">
        <v>44378</v>
      </c>
      <c r="C511" s="54" t="e">
        <f>VLOOKUP(A500,'July 2021'!$F$8:$G$17,2,FALSE)</f>
        <v>#N/A</v>
      </c>
    </row>
    <row r="512" spans="1:3" s="29" customFormat="1" x14ac:dyDescent="0.25">
      <c r="A512" s="60"/>
      <c r="B512" s="53">
        <v>44409</v>
      </c>
      <c r="C512" s="54" t="e">
        <f>VLOOKUP(A500,'August 2021'!$F$2:$G$14,2,FALSE)</f>
        <v>#N/A</v>
      </c>
    </row>
    <row r="513" spans="1:3" s="29" customFormat="1" x14ac:dyDescent="0.25">
      <c r="A513" s="60"/>
      <c r="B513" s="53">
        <v>44440</v>
      </c>
      <c r="C513" s="54" t="e">
        <f>VLOOKUP(A500,'September 2021'!$F$3:$G$16,2,FALSE)</f>
        <v>#N/A</v>
      </c>
    </row>
    <row r="514" spans="1:3" s="29" customFormat="1" x14ac:dyDescent="0.25">
      <c r="A514" s="60"/>
      <c r="B514" s="53">
        <v>44470</v>
      </c>
      <c r="C514" s="54" t="e">
        <f>VLOOKUP(A500,'October 2021'!$F$3:$G$13,2,FALSE)</f>
        <v>#N/A</v>
      </c>
    </row>
    <row r="515" spans="1:3" s="29" customFormat="1" x14ac:dyDescent="0.25">
      <c r="A515" s="60"/>
      <c r="B515" s="53">
        <v>44501</v>
      </c>
      <c r="C515" s="54" t="e">
        <f>VLOOKUP(A500,'November 2021'!$F$3:$G$14,2,FALSE)</f>
        <v>#N/A</v>
      </c>
    </row>
    <row r="516" spans="1:3" s="29" customFormat="1" x14ac:dyDescent="0.25">
      <c r="A516" s="60"/>
      <c r="B516" s="53">
        <v>44531</v>
      </c>
      <c r="C516" s="54" t="str">
        <f>VLOOKUP(A500,'December 2021'!$F$2:$G$12,2,FALSE)</f>
        <v xml:space="preserve">Activity continues to maintain a steady pace. Inventory levels and outages are persistent with our suppliers; however, starting to see some relief in the supply chain, but not below the critical point yet. Prices continue to be driven up, with shipping costs the largest driver due to inflated pressures on capacity and fuel costs. </v>
      </c>
    </row>
    <row r="517" spans="1:3" s="29" customFormat="1" ht="30" x14ac:dyDescent="0.25">
      <c r="A517" s="60"/>
      <c r="B517" s="53">
        <v>44562</v>
      </c>
      <c r="C517" s="54" t="str">
        <f>VLOOKUP(A500,'January 2022'!$F$3:$G$13,2,FALSE)</f>
        <v xml:space="preserve">“Downturn in business in the last month due to outbreak in COVID-19 cases.” </v>
      </c>
    </row>
    <row r="518" spans="1:3" s="29" customFormat="1" ht="30" x14ac:dyDescent="0.25">
      <c r="A518" s="60"/>
      <c r="B518" s="53">
        <v>44593</v>
      </c>
      <c r="C518" s="54" t="e">
        <f>VLOOKUP(A500,'February 2022'!$F$4:$G$13,2,FALSE)</f>
        <v>#N/A</v>
      </c>
    </row>
    <row r="519" spans="1:3" s="29" customFormat="1" x14ac:dyDescent="0.25">
      <c r="A519" s="60"/>
      <c r="B519" s="53">
        <v>44621</v>
      </c>
      <c r="C519" s="54" t="e">
        <f>VLOOKUP(A500,'March 2022'!$E$3:$F$13,2,FALSE)</f>
        <v>#N/A</v>
      </c>
    </row>
    <row r="520" spans="1:3" s="29" customFormat="1" x14ac:dyDescent="0.25">
      <c r="A520" s="60"/>
      <c r="B520" s="55"/>
      <c r="C520" s="55"/>
    </row>
    <row r="521" spans="1:3" s="29" customFormat="1" x14ac:dyDescent="0.25">
      <c r="A521" s="60"/>
      <c r="B521" s="55"/>
      <c r="C521" s="55"/>
    </row>
    <row r="522" spans="1:3" s="29" customFormat="1" x14ac:dyDescent="0.25">
      <c r="A522" s="60"/>
      <c r="B522" s="55"/>
      <c r="C522" s="55"/>
    </row>
    <row r="523" spans="1:3" s="29" customFormat="1" x14ac:dyDescent="0.25">
      <c r="A523" s="60"/>
      <c r="B523" s="55"/>
      <c r="C523" s="55"/>
    </row>
    <row r="524" spans="1:3" s="29" customFormat="1" x14ac:dyDescent="0.25">
      <c r="A524" s="60"/>
      <c r="B524" s="55"/>
      <c r="C524" s="55"/>
    </row>
    <row r="525" spans="1:3" s="29" customFormat="1" x14ac:dyDescent="0.25">
      <c r="A525" s="60"/>
      <c r="B525" s="55"/>
      <c r="C525" s="55"/>
    </row>
    <row r="526" spans="1:3" s="29" customFormat="1" x14ac:dyDescent="0.25">
      <c r="A526" s="60"/>
      <c r="B526" s="55"/>
      <c r="C526" s="55"/>
    </row>
    <row r="527" spans="1:3" s="29" customFormat="1" x14ac:dyDescent="0.25">
      <c r="A527" s="60"/>
      <c r="B527" s="55"/>
      <c r="C527" s="55"/>
    </row>
    <row r="528" spans="1:3" s="29" customFormat="1" x14ac:dyDescent="0.25">
      <c r="A528" s="60"/>
      <c r="B528" s="55"/>
      <c r="C528" s="55"/>
    </row>
    <row r="529" spans="1:3" s="29" customFormat="1" x14ac:dyDescent="0.25">
      <c r="A529" s="60"/>
      <c r="B529" s="55"/>
      <c r="C529" s="55"/>
    </row>
    <row r="530" spans="1:3" s="29" customFormat="1" x14ac:dyDescent="0.25">
      <c r="A530" s="60"/>
      <c r="B530" s="55"/>
      <c r="C530" s="55"/>
    </row>
    <row r="531" spans="1:3" x14ac:dyDescent="0.25">
      <c r="A531" s="56" t="s">
        <v>29</v>
      </c>
      <c r="B531" s="57">
        <v>44044</v>
      </c>
      <c r="C531" s="58" t="str">
        <f>VLOOKUP(A531,'August 2020'!$F$3:$G$12,2,FALSE)</f>
        <v xml:space="preserve">Business recovery continues as the country reopens. </v>
      </c>
    </row>
    <row r="532" spans="1:3" x14ac:dyDescent="0.25">
      <c r="A532" s="56"/>
      <c r="B532" s="57">
        <v>44075</v>
      </c>
      <c r="C532" s="58" t="e">
        <f>VLOOKUP(A531,'September 2020'!$F$3:$G$12,2,FALSE)</f>
        <v>#N/A</v>
      </c>
    </row>
    <row r="533" spans="1:3" x14ac:dyDescent="0.25">
      <c r="A533" s="56"/>
      <c r="B533" s="57">
        <v>44105</v>
      </c>
      <c r="C533" s="58" t="e">
        <f>VLOOKUP(A531,'October 2020'!$F$3:$G$12,2,FALSE)</f>
        <v>#N/A</v>
      </c>
    </row>
    <row r="534" spans="1:3" x14ac:dyDescent="0.25">
      <c r="A534" s="56"/>
      <c r="B534" s="57">
        <v>44136</v>
      </c>
      <c r="C534" s="58" t="e">
        <f>VLOOKUP(A531,'November 2020'!$F$3:$G$12,2,FALSE)</f>
        <v>#N/A</v>
      </c>
    </row>
    <row r="535" spans="1:3" x14ac:dyDescent="0.25">
      <c r="A535" s="56"/>
      <c r="B535" s="57">
        <v>44166</v>
      </c>
      <c r="C535" s="58" t="str">
        <f>VLOOKUP(A531,'December 2020'!$F$3:$G$11,2,FALSE)</f>
        <v xml:space="preserve">Business quite good, all things considered, although below the original 2020 planned forecast. </v>
      </c>
    </row>
    <row r="536" spans="1:3" x14ac:dyDescent="0.25">
      <c r="A536" s="56"/>
      <c r="B536" s="57">
        <v>44197</v>
      </c>
      <c r="C536" s="58" t="e">
        <f>VLOOKUP(A531,'January 2021'!$F$3:$G$14,2,FALSE)</f>
        <v>#N/A</v>
      </c>
    </row>
    <row r="537" spans="1:3" x14ac:dyDescent="0.25">
      <c r="A537" s="56"/>
      <c r="B537" s="57">
        <v>44228</v>
      </c>
      <c r="C537" s="58" t="e">
        <f>VLOOKUP(A531,'February 2021'!$F$4:$G$15,2,FALSE)</f>
        <v>#N/A</v>
      </c>
    </row>
    <row r="538" spans="1:3" x14ac:dyDescent="0.25">
      <c r="A538" s="56"/>
      <c r="B538" s="57">
        <v>44256</v>
      </c>
      <c r="C538" s="58" t="str">
        <f>VLOOKUP(A531,'March 2021'!$F$2:$G$13,2,FALSE)</f>
        <v xml:space="preserve">“Business is picking up as mandated restrictions seem to be easing and spring is right around the corner.” </v>
      </c>
    </row>
    <row r="539" spans="1:3" x14ac:dyDescent="0.25">
      <c r="A539" s="56"/>
      <c r="B539" s="57">
        <v>44287</v>
      </c>
      <c r="C539" s="58" t="str">
        <f>VLOOKUP(A531,'April 2021'!$F$2:$G$13,2,FALSE)</f>
        <v xml:space="preserve">Business levels are quite strong as we head into the spring construction season. </v>
      </c>
    </row>
    <row r="540" spans="1:3" ht="30" x14ac:dyDescent="0.25">
      <c r="A540" s="56"/>
      <c r="B540" s="57">
        <v>44317</v>
      </c>
      <c r="C540" s="58" t="str">
        <f>VLOOKUP(A531,'May 2021'!$F$2:$G$13,2,FALSE)</f>
        <v xml:space="preserve">Business is very strong, and customer orders continue to increase at a rapid pace. Material shortages, increased prices and qualified personnel shortages are becoming a much larger concern. </v>
      </c>
    </row>
    <row r="541" spans="1:3" x14ac:dyDescent="0.25">
      <c r="A541" s="56"/>
      <c r="B541" s="57">
        <v>44348</v>
      </c>
      <c r="C541" s="58" t="e">
        <f>VLOOKUP(A531,'June 2021 '!$F$2:$G$12,2,FALSE)</f>
        <v>#N/A</v>
      </c>
    </row>
    <row r="542" spans="1:3" ht="30" x14ac:dyDescent="0.25">
      <c r="A542" s="56"/>
      <c r="B542" s="57">
        <v>44378</v>
      </c>
      <c r="C542" s="58" t="str">
        <f>VLOOKUP(A531,'July 2021'!$F$8:$G$17,2,FALSE)</f>
        <v xml:space="preserve">Business continues to gain speed as the economy recovers and assuming there won't be additional government-mandated lockdowns. </v>
      </c>
    </row>
    <row r="543" spans="1:3" x14ac:dyDescent="0.25">
      <c r="A543" s="56"/>
      <c r="B543" s="57">
        <v>44409</v>
      </c>
      <c r="C543" s="58" t="str">
        <f>VLOOKUP(A531,'August 2021'!$F$2:$G$14,2,FALSE)</f>
        <v xml:space="preserve">Business in all segments continues to gain, both month over month and year-to-date versus 2020. Projections and forecasts remain quite robust. </v>
      </c>
    </row>
    <row r="544" spans="1:3" x14ac:dyDescent="0.25">
      <c r="A544" s="56"/>
      <c r="B544" s="57">
        <v>44440</v>
      </c>
      <c r="C544" s="58" t="str">
        <f>VLOOKUP(A531,'September 2021'!$F$3:$G$16,2,FALSE)</f>
        <v xml:space="preserve">Business volumes remain remarkably high, although material shortages persist. </v>
      </c>
    </row>
    <row r="545" spans="1:3" x14ac:dyDescent="0.25">
      <c r="A545" s="56"/>
      <c r="B545" s="57">
        <v>44470</v>
      </c>
      <c r="C545" s="58" t="str">
        <f>VLOOKUP(A531,'October 2021'!$F$3:$G$13,2,FALSE)</f>
        <v xml:space="preserve">Construction remains quite strong, although material supply issues persist. </v>
      </c>
    </row>
    <row r="546" spans="1:3" x14ac:dyDescent="0.25">
      <c r="A546" s="56"/>
      <c r="B546" s="57">
        <v>44501</v>
      </c>
      <c r="C546" s="58" t="e">
        <f>VLOOKUP(A531,'November 2021'!$F$3:$G$14,2,FALSE)</f>
        <v>#N/A</v>
      </c>
    </row>
    <row r="547" spans="1:3" x14ac:dyDescent="0.25">
      <c r="A547" s="56"/>
      <c r="B547" s="57">
        <v>44531</v>
      </c>
      <c r="C547" s="58" t="e">
        <f>VLOOKUP(A531,'December 2021'!$F$2:$G$12,2,FALSE)</f>
        <v>#N/A</v>
      </c>
    </row>
    <row r="548" spans="1:3" ht="30" x14ac:dyDescent="0.25">
      <c r="A548" s="56"/>
      <c r="B548" s="57">
        <v>44562</v>
      </c>
      <c r="C548" s="58" t="e">
        <f>VLOOKUP(A531,'January 2022'!$F$3:$G$13,2,FALSE)</f>
        <v>#N/A</v>
      </c>
    </row>
    <row r="549" spans="1:3" ht="30" x14ac:dyDescent="0.25">
      <c r="A549" s="56"/>
      <c r="B549" s="57">
        <v>44593</v>
      </c>
      <c r="C549" s="58" t="e">
        <f>VLOOKUP(A531,'February 2022'!$F$4:$G$13,2,FALSE)</f>
        <v>#N/A</v>
      </c>
    </row>
    <row r="550" spans="1:3" x14ac:dyDescent="0.25">
      <c r="A550" s="56"/>
      <c r="B550" s="57">
        <v>44621</v>
      </c>
      <c r="C550" s="58" t="e">
        <f>VLOOKUP(A531,'March 2022'!$E$3:$F$13,2,FALSE)</f>
        <v>#N/A</v>
      </c>
    </row>
    <row r="551" spans="1:3" x14ac:dyDescent="0.25">
      <c r="A551" s="56"/>
      <c r="B551" s="59"/>
      <c r="C551" s="59"/>
    </row>
    <row r="552" spans="1:3" x14ac:dyDescent="0.25">
      <c r="A552" s="56"/>
      <c r="B552" s="59"/>
      <c r="C552" s="59"/>
    </row>
    <row r="553" spans="1:3" x14ac:dyDescent="0.25">
      <c r="A553" s="56"/>
      <c r="B553" s="59"/>
      <c r="C553" s="59"/>
    </row>
    <row r="554" spans="1:3" x14ac:dyDescent="0.25">
      <c r="A554" s="56"/>
      <c r="B554" s="59"/>
      <c r="C554" s="59"/>
    </row>
  </sheetData>
  <mergeCells count="18">
    <mergeCell ref="A531:A554"/>
    <mergeCell ref="A189:A220"/>
    <mergeCell ref="A221:A251"/>
    <mergeCell ref="A252:A282"/>
    <mergeCell ref="A283:A313"/>
    <mergeCell ref="A314:A344"/>
    <mergeCell ref="A345:A375"/>
    <mergeCell ref="A376:A406"/>
    <mergeCell ref="A407:A437"/>
    <mergeCell ref="A438:A468"/>
    <mergeCell ref="A469:A499"/>
    <mergeCell ref="A500:A530"/>
    <mergeCell ref="A158:A188"/>
    <mergeCell ref="A2:A32"/>
    <mergeCell ref="A33:A64"/>
    <mergeCell ref="A65:A95"/>
    <mergeCell ref="A96:A126"/>
    <mergeCell ref="A127:A157"/>
  </mergeCells>
  <phoneticPr fontId="13" type="noConversion"/>
  <pageMargins left="0.7" right="0.7" top="0.75" bottom="0.75" header="0.51180555555555496" footer="0.51180555555555496"/>
  <pageSetup paperSize="9" firstPageNumber="0" orientation="portrait" horizontalDpi="300" verticalDpi="30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tabColor rgb="FF92D050"/>
  </sheetPr>
  <dimension ref="A1:P50"/>
  <sheetViews>
    <sheetView topLeftCell="J1" zoomScaleNormal="100" workbookViewId="0">
      <selection activeCell="U21" sqref="U21"/>
    </sheetView>
  </sheetViews>
  <sheetFormatPr defaultRowHeight="15" x14ac:dyDescent="0.25"/>
  <cols>
    <col min="1" max="1" width="8.7109375" customWidth="1"/>
    <col min="2" max="2" width="32.5703125" customWidth="1"/>
    <col min="3" max="3" width="31.42578125" customWidth="1"/>
    <col min="4" max="4" width="9.140625" bestFit="1" customWidth="1"/>
    <col min="5" max="6" width="8.7109375" customWidth="1"/>
    <col min="7" max="7" width="6.5703125" customWidth="1"/>
    <col min="8" max="8" width="32.5703125" customWidth="1"/>
    <col min="9" max="9" width="30.28515625" customWidth="1"/>
    <col min="10" max="10" width="9.140625" bestFit="1" customWidth="1"/>
    <col min="11" max="12" width="8.7109375" customWidth="1"/>
    <col min="13" max="13" width="6.5703125" bestFit="1" customWidth="1"/>
    <col min="14" max="14" width="29.85546875" customWidth="1"/>
    <col min="15" max="15" width="26.42578125" customWidth="1"/>
    <col min="16" max="16" width="9.140625" bestFit="1" customWidth="1"/>
    <col min="17" max="1025" width="8.7109375" customWidth="1"/>
  </cols>
  <sheetData>
    <row r="1" spans="1:16" ht="18.75" x14ac:dyDescent="0.25">
      <c r="B1" s="40" t="s">
        <v>60</v>
      </c>
      <c r="C1" s="40"/>
      <c r="D1" s="15" t="s">
        <v>61</v>
      </c>
      <c r="H1" s="40" t="s">
        <v>60</v>
      </c>
      <c r="I1" s="40"/>
      <c r="J1" s="15" t="s">
        <v>61</v>
      </c>
      <c r="M1" s="29"/>
      <c r="N1" s="40" t="s">
        <v>3814</v>
      </c>
      <c r="O1" s="40"/>
      <c r="P1" s="32" t="s">
        <v>61</v>
      </c>
    </row>
    <row r="2" spans="1:16" ht="18.75" x14ac:dyDescent="0.25">
      <c r="A2" s="15" t="s">
        <v>62</v>
      </c>
      <c r="B2" s="16" t="s">
        <v>63</v>
      </c>
      <c r="C2" s="17" t="s">
        <v>64</v>
      </c>
      <c r="D2" s="18">
        <v>44386</v>
      </c>
      <c r="G2" s="15" t="s">
        <v>62</v>
      </c>
      <c r="H2" s="16" t="s">
        <v>63</v>
      </c>
      <c r="I2" s="17" t="s">
        <v>64</v>
      </c>
      <c r="J2" s="19">
        <v>44294</v>
      </c>
      <c r="M2" s="32" t="s">
        <v>62</v>
      </c>
      <c r="N2" s="16" t="s">
        <v>63</v>
      </c>
      <c r="O2" s="34" t="s">
        <v>64</v>
      </c>
      <c r="P2" s="35">
        <v>44658</v>
      </c>
    </row>
    <row r="3" spans="1:16" x14ac:dyDescent="0.25">
      <c r="A3" s="1">
        <v>14</v>
      </c>
      <c r="B3" s="20" t="s">
        <v>65</v>
      </c>
      <c r="G3" s="1">
        <v>16</v>
      </c>
      <c r="H3" s="20" t="s">
        <v>66</v>
      </c>
      <c r="I3" s="1" t="s">
        <v>16</v>
      </c>
      <c r="M3" s="1">
        <v>15</v>
      </c>
      <c r="N3" s="33" t="s">
        <v>40</v>
      </c>
      <c r="O3" s="1" t="s">
        <v>25</v>
      </c>
      <c r="P3" s="2">
        <v>6</v>
      </c>
    </row>
    <row r="4" spans="1:16" x14ac:dyDescent="0.25">
      <c r="A4" s="1">
        <v>9</v>
      </c>
      <c r="B4" s="20" t="s">
        <v>40</v>
      </c>
      <c r="G4" s="1">
        <v>10</v>
      </c>
      <c r="H4" s="20" t="s">
        <v>28</v>
      </c>
      <c r="M4" s="1">
        <v>17</v>
      </c>
      <c r="N4" s="33" t="s">
        <v>27</v>
      </c>
      <c r="O4" s="2" t="s">
        <v>3816</v>
      </c>
      <c r="P4" s="2">
        <v>1</v>
      </c>
    </row>
    <row r="5" spans="1:16" x14ac:dyDescent="0.25">
      <c r="A5" s="1">
        <v>16</v>
      </c>
      <c r="B5" s="20" t="s">
        <v>67</v>
      </c>
      <c r="G5" s="1">
        <v>17</v>
      </c>
      <c r="H5" s="20" t="s">
        <v>68</v>
      </c>
      <c r="M5" s="1">
        <v>16</v>
      </c>
      <c r="N5" s="33" t="s">
        <v>3815</v>
      </c>
      <c r="O5" s="2" t="s">
        <v>3817</v>
      </c>
      <c r="P5" s="2">
        <v>0</v>
      </c>
    </row>
    <row r="6" spans="1:16" x14ac:dyDescent="0.25">
      <c r="A6" s="1">
        <v>11</v>
      </c>
      <c r="B6" s="20" t="s">
        <v>69</v>
      </c>
      <c r="G6" s="1">
        <v>15</v>
      </c>
      <c r="H6" s="20" t="s">
        <v>70</v>
      </c>
    </row>
    <row r="7" spans="1:16" x14ac:dyDescent="0.25">
      <c r="A7" s="1">
        <v>10</v>
      </c>
      <c r="B7" s="20" t="s">
        <v>71</v>
      </c>
      <c r="G7" s="1">
        <v>12</v>
      </c>
      <c r="H7" s="2" t="s">
        <v>72</v>
      </c>
    </row>
    <row r="8" spans="1:16" x14ac:dyDescent="0.25">
      <c r="A8" s="2">
        <v>15</v>
      </c>
      <c r="B8" s="20" t="s">
        <v>18</v>
      </c>
    </row>
    <row r="9" spans="1:16" ht="18.75" x14ac:dyDescent="0.25">
      <c r="H9" s="40" t="s">
        <v>73</v>
      </c>
      <c r="I9" s="40"/>
    </row>
    <row r="10" spans="1:16" ht="18.75" x14ac:dyDescent="0.25">
      <c r="B10" s="40" t="s">
        <v>73</v>
      </c>
      <c r="C10" s="40"/>
      <c r="H10" s="41" t="s">
        <v>66</v>
      </c>
      <c r="I10" s="41"/>
    </row>
    <row r="11" spans="1:16" ht="18.75" x14ac:dyDescent="0.25">
      <c r="B11" s="41" t="s">
        <v>65</v>
      </c>
      <c r="C11" s="41"/>
      <c r="H11" s="21" t="s">
        <v>74</v>
      </c>
      <c r="I11" s="22" t="s">
        <v>75</v>
      </c>
    </row>
    <row r="12" spans="1:16" x14ac:dyDescent="0.25">
      <c r="B12" s="22" t="s">
        <v>74</v>
      </c>
      <c r="C12" s="22" t="s">
        <v>75</v>
      </c>
      <c r="I12" s="1" t="s">
        <v>76</v>
      </c>
    </row>
    <row r="13" spans="1:16" x14ac:dyDescent="0.25">
      <c r="C13" s="1" t="s">
        <v>77</v>
      </c>
      <c r="I13" s="23" t="s">
        <v>78</v>
      </c>
    </row>
    <row r="14" spans="1:16" x14ac:dyDescent="0.25">
      <c r="C14" s="2" t="s">
        <v>79</v>
      </c>
      <c r="D14" t="s">
        <v>80</v>
      </c>
    </row>
    <row r="15" spans="1:16" ht="18.75" x14ac:dyDescent="0.25">
      <c r="H15" s="41" t="s">
        <v>28</v>
      </c>
      <c r="I15" s="41"/>
    </row>
    <row r="16" spans="1:16" ht="18.75" x14ac:dyDescent="0.25">
      <c r="B16" s="41" t="s">
        <v>40</v>
      </c>
      <c r="C16" s="41"/>
      <c r="H16" s="21" t="s">
        <v>74</v>
      </c>
      <c r="I16" s="22" t="s">
        <v>75</v>
      </c>
    </row>
    <row r="17" spans="1:9" x14ac:dyDescent="0.25">
      <c r="B17" s="22" t="s">
        <v>74</v>
      </c>
      <c r="C17" s="22" t="s">
        <v>75</v>
      </c>
      <c r="I17" s="1" t="s">
        <v>81</v>
      </c>
    </row>
    <row r="18" spans="1:9" x14ac:dyDescent="0.25">
      <c r="A18" t="s">
        <v>80</v>
      </c>
      <c r="B18" s="1" t="s">
        <v>82</v>
      </c>
      <c r="C18" s="1" t="s">
        <v>83</v>
      </c>
      <c r="I18" s="23" t="s">
        <v>84</v>
      </c>
    </row>
    <row r="19" spans="1:9" x14ac:dyDescent="0.25">
      <c r="C19" s="2" t="s">
        <v>85</v>
      </c>
      <c r="I19" s="1" t="s">
        <v>86</v>
      </c>
    </row>
    <row r="20" spans="1:9" x14ac:dyDescent="0.25">
      <c r="C20" s="9" t="s">
        <v>87</v>
      </c>
    </row>
    <row r="21" spans="1:9" ht="18.75" x14ac:dyDescent="0.25">
      <c r="C21" s="2" t="s">
        <v>88</v>
      </c>
      <c r="D21" t="s">
        <v>80</v>
      </c>
      <c r="H21" s="41" t="s">
        <v>89</v>
      </c>
      <c r="I21" s="41"/>
    </row>
    <row r="22" spans="1:9" x14ac:dyDescent="0.25">
      <c r="C22" s="9" t="s">
        <v>90</v>
      </c>
      <c r="D22" t="s">
        <v>80</v>
      </c>
      <c r="H22" s="21" t="s">
        <v>74</v>
      </c>
      <c r="I22" s="22" t="s">
        <v>75</v>
      </c>
    </row>
    <row r="23" spans="1:9" x14ac:dyDescent="0.25">
      <c r="I23" s="1" t="s">
        <v>91</v>
      </c>
    </row>
    <row r="24" spans="1:9" x14ac:dyDescent="0.25">
      <c r="I24" s="1" t="s">
        <v>92</v>
      </c>
    </row>
    <row r="25" spans="1:9" ht="18.75" x14ac:dyDescent="0.25">
      <c r="B25" s="41" t="s">
        <v>67</v>
      </c>
      <c r="C25" s="41"/>
      <c r="I25" s="24" t="s">
        <v>93</v>
      </c>
    </row>
    <row r="26" spans="1:9" x14ac:dyDescent="0.25">
      <c r="B26" s="22" t="s">
        <v>74</v>
      </c>
      <c r="C26" s="22" t="s">
        <v>75</v>
      </c>
    </row>
    <row r="27" spans="1:9" ht="18.75" x14ac:dyDescent="0.25">
      <c r="H27" s="41" t="s">
        <v>94</v>
      </c>
      <c r="I27" s="41"/>
    </row>
    <row r="28" spans="1:9" ht="18.75" x14ac:dyDescent="0.25">
      <c r="B28" s="41" t="s">
        <v>69</v>
      </c>
      <c r="C28" s="41"/>
      <c r="H28" s="21" t="s">
        <v>74</v>
      </c>
      <c r="I28" s="22" t="s">
        <v>75</v>
      </c>
    </row>
    <row r="29" spans="1:9" x14ac:dyDescent="0.25">
      <c r="B29" s="22" t="s">
        <v>74</v>
      </c>
      <c r="C29" s="22" t="s">
        <v>75</v>
      </c>
      <c r="I29" s="1" t="s">
        <v>95</v>
      </c>
    </row>
    <row r="30" spans="1:9" x14ac:dyDescent="0.25">
      <c r="I30" s="1" t="s">
        <v>96</v>
      </c>
    </row>
    <row r="31" spans="1:9" ht="18.75" x14ac:dyDescent="0.25">
      <c r="B31" s="41" t="s">
        <v>71</v>
      </c>
      <c r="C31" s="41"/>
      <c r="I31" s="1" t="s">
        <v>97</v>
      </c>
    </row>
    <row r="32" spans="1:9" x14ac:dyDescent="0.25">
      <c r="B32" s="22" t="s">
        <v>74</v>
      </c>
      <c r="C32" s="22" t="s">
        <v>75</v>
      </c>
      <c r="I32" s="1" t="s">
        <v>98</v>
      </c>
    </row>
    <row r="33" spans="8:9" x14ac:dyDescent="0.25">
      <c r="I33" s="1" t="s">
        <v>99</v>
      </c>
    </row>
    <row r="34" spans="8:9" x14ac:dyDescent="0.25">
      <c r="I34" s="1" t="s">
        <v>100</v>
      </c>
    </row>
    <row r="35" spans="8:9" x14ac:dyDescent="0.25">
      <c r="I35" s="1" t="s">
        <v>101</v>
      </c>
    </row>
    <row r="36" spans="8:9" x14ac:dyDescent="0.25">
      <c r="I36" s="1" t="s">
        <v>102</v>
      </c>
    </row>
    <row r="38" spans="8:9" ht="18.75" x14ac:dyDescent="0.25">
      <c r="H38" s="41" t="s">
        <v>72</v>
      </c>
      <c r="I38" s="41"/>
    </row>
    <row r="39" spans="8:9" x14ac:dyDescent="0.25">
      <c r="H39" s="21" t="s">
        <v>74</v>
      </c>
      <c r="I39" s="22" t="s">
        <v>75</v>
      </c>
    </row>
    <row r="40" spans="8:9" x14ac:dyDescent="0.25">
      <c r="I40" s="1" t="s">
        <v>103</v>
      </c>
    </row>
    <row r="41" spans="8:9" x14ac:dyDescent="0.25">
      <c r="I41" s="1" t="s">
        <v>104</v>
      </c>
    </row>
    <row r="42" spans="8:9" x14ac:dyDescent="0.25">
      <c r="I42" s="1" t="s">
        <v>105</v>
      </c>
    </row>
    <row r="43" spans="8:9" x14ac:dyDescent="0.25">
      <c r="I43" s="1" t="s">
        <v>106</v>
      </c>
    </row>
    <row r="45" spans="8:9" ht="18.75" x14ac:dyDescent="0.25">
      <c r="H45" s="40" t="s">
        <v>107</v>
      </c>
      <c r="I45" s="40"/>
    </row>
    <row r="46" spans="8:9" ht="18.75" x14ac:dyDescent="0.25">
      <c r="H46" s="42" t="s">
        <v>16</v>
      </c>
      <c r="I46" s="42"/>
    </row>
    <row r="47" spans="8:9" x14ac:dyDescent="0.25">
      <c r="H47" s="21" t="s">
        <v>74</v>
      </c>
      <c r="I47" s="22" t="s">
        <v>75</v>
      </c>
    </row>
    <row r="49" spans="8:9" ht="18.75" x14ac:dyDescent="0.25">
      <c r="H49" s="42" t="s">
        <v>108</v>
      </c>
      <c r="I49" s="42"/>
    </row>
    <row r="50" spans="8:9" x14ac:dyDescent="0.25">
      <c r="H50" s="21" t="s">
        <v>74</v>
      </c>
      <c r="I50" s="22" t="s">
        <v>75</v>
      </c>
    </row>
  </sheetData>
  <mergeCells count="18">
    <mergeCell ref="B11:C11"/>
    <mergeCell ref="H15:I15"/>
    <mergeCell ref="B16:C16"/>
    <mergeCell ref="H21:I21"/>
    <mergeCell ref="B25:C25"/>
    <mergeCell ref="H46:I46"/>
    <mergeCell ref="H49:I49"/>
    <mergeCell ref="H27:I27"/>
    <mergeCell ref="B28:C28"/>
    <mergeCell ref="B31:C31"/>
    <mergeCell ref="H38:I38"/>
    <mergeCell ref="H45:I45"/>
    <mergeCell ref="H1:I1"/>
    <mergeCell ref="H9:I9"/>
    <mergeCell ref="B10:C10"/>
    <mergeCell ref="H10:I10"/>
    <mergeCell ref="N1:O1"/>
    <mergeCell ref="B1:C1"/>
  </mergeCells>
  <pageMargins left="0.7" right="0.7" top="0.75" bottom="0.75" header="0.51180555555555496" footer="0.51180555555555496"/>
  <pageSetup firstPageNumber="0" orientation="portrait" horizontalDpi="300" verticalDpi="30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tabColor theme="5" tint="0.79998168889431442"/>
  </sheetPr>
  <dimension ref="A1:N1458"/>
  <sheetViews>
    <sheetView zoomScaleNormal="100" workbookViewId="0">
      <selection activeCell="F21" sqref="F21"/>
    </sheetView>
  </sheetViews>
  <sheetFormatPr defaultRowHeight="15" x14ac:dyDescent="0.25"/>
  <cols>
    <col min="1" max="1" width="15.28515625" customWidth="1"/>
    <col min="2" max="2" width="69.42578125" customWidth="1"/>
    <col min="3" max="3" width="11" customWidth="1"/>
    <col min="4" max="5" width="8.7109375" customWidth="1"/>
    <col min="6" max="6" width="11" customWidth="1"/>
    <col min="7" max="1025" width="8.7109375" customWidth="1"/>
  </cols>
  <sheetData>
    <row r="1" spans="1:13" ht="18.75" x14ac:dyDescent="0.25">
      <c r="A1" s="46" t="s">
        <v>25</v>
      </c>
      <c r="B1" s="46"/>
      <c r="C1" s="46"/>
      <c r="D1" s="46"/>
      <c r="E1" s="46"/>
      <c r="F1" s="46"/>
      <c r="G1" s="46"/>
      <c r="H1" s="46"/>
      <c r="I1" s="46"/>
      <c r="J1" s="46"/>
      <c r="K1" s="46"/>
      <c r="L1" s="46"/>
      <c r="M1" s="46"/>
    </row>
    <row r="2" spans="1:13" ht="62.25" customHeight="1" x14ac:dyDescent="0.25">
      <c r="A2" s="45" t="s">
        <v>109</v>
      </c>
      <c r="B2" s="45"/>
      <c r="C2" s="45"/>
      <c r="D2" s="45"/>
      <c r="E2" s="45"/>
      <c r="F2" s="45"/>
      <c r="G2" s="45"/>
      <c r="H2" s="45"/>
      <c r="I2" s="45"/>
      <c r="J2" s="45"/>
      <c r="K2" s="45"/>
      <c r="L2" s="45"/>
      <c r="M2" s="45"/>
    </row>
    <row r="3" spans="1:13" x14ac:dyDescent="0.25">
      <c r="A3" s="1" t="e">
        <f>#VALUE!</f>
        <v>#VALUE!</v>
      </c>
      <c r="B3" s="1" t="s">
        <v>110</v>
      </c>
      <c r="C3" s="1" t="s">
        <v>111</v>
      </c>
    </row>
    <row r="4" spans="1:13" x14ac:dyDescent="0.25">
      <c r="A4" s="1" t="s">
        <v>112</v>
      </c>
      <c r="B4" s="1" t="s">
        <v>113</v>
      </c>
      <c r="C4" s="1" t="s">
        <v>114</v>
      </c>
      <c r="F4" s="25" t="s">
        <v>115</v>
      </c>
    </row>
    <row r="5" spans="1:13" x14ac:dyDescent="0.25">
      <c r="A5" s="1" t="s">
        <v>116</v>
      </c>
      <c r="B5" s="1" t="s">
        <v>117</v>
      </c>
      <c r="C5" s="1" t="s">
        <v>118</v>
      </c>
      <c r="F5" s="1"/>
    </row>
    <row r="6" spans="1:13" x14ac:dyDescent="0.25">
      <c r="A6" s="1" t="s">
        <v>119</v>
      </c>
      <c r="B6" s="1" t="s">
        <v>120</v>
      </c>
      <c r="C6" s="1" t="s">
        <v>121</v>
      </c>
    </row>
    <row r="7" spans="1:13" x14ac:dyDescent="0.25">
      <c r="A7" s="1" t="s">
        <v>122</v>
      </c>
      <c r="B7" s="1" t="s">
        <v>123</v>
      </c>
      <c r="C7" s="1" t="s">
        <v>124</v>
      </c>
    </row>
    <row r="8" spans="1:13" x14ac:dyDescent="0.25">
      <c r="A8" s="1" t="s">
        <v>125</v>
      </c>
      <c r="B8" s="1" t="s">
        <v>126</v>
      </c>
      <c r="C8" s="1" t="s">
        <v>127</v>
      </c>
    </row>
    <row r="9" spans="1:13" x14ac:dyDescent="0.25">
      <c r="A9" s="1" t="s">
        <v>128</v>
      </c>
      <c r="B9" s="1" t="s">
        <v>129</v>
      </c>
      <c r="C9" s="1" t="s">
        <v>130</v>
      </c>
    </row>
    <row r="10" spans="1:13" x14ac:dyDescent="0.25">
      <c r="A10" s="1" t="s">
        <v>131</v>
      </c>
      <c r="B10" s="1" t="s">
        <v>132</v>
      </c>
      <c r="C10" s="1" t="s">
        <v>133</v>
      </c>
    </row>
    <row r="11" spans="1:13" x14ac:dyDescent="0.25">
      <c r="A11" s="1" t="s">
        <v>134</v>
      </c>
      <c r="B11" s="1" t="s">
        <v>135</v>
      </c>
      <c r="C11" s="1" t="s">
        <v>136</v>
      </c>
    </row>
    <row r="12" spans="1:13" x14ac:dyDescent="0.25">
      <c r="A12" s="1" t="s">
        <v>137</v>
      </c>
      <c r="B12" s="1" t="s">
        <v>138</v>
      </c>
      <c r="C12" s="1" t="s">
        <v>139</v>
      </c>
    </row>
    <row r="13" spans="1:13" x14ac:dyDescent="0.25">
      <c r="A13" s="1" t="s">
        <v>140</v>
      </c>
      <c r="B13" s="1" t="s">
        <v>141</v>
      </c>
      <c r="C13" s="1" t="s">
        <v>142</v>
      </c>
    </row>
    <row r="14" spans="1:13" x14ac:dyDescent="0.25">
      <c r="A14" s="1" t="s">
        <v>143</v>
      </c>
      <c r="B14" s="1" t="s">
        <v>144</v>
      </c>
      <c r="C14" s="1" t="s">
        <v>145</v>
      </c>
    </row>
    <row r="15" spans="1:13" x14ac:dyDescent="0.25">
      <c r="A15" s="1" t="s">
        <v>146</v>
      </c>
      <c r="B15" s="1" t="s">
        <v>147</v>
      </c>
      <c r="C15" s="1" t="s">
        <v>148</v>
      </c>
    </row>
    <row r="16" spans="1:13" x14ac:dyDescent="0.25">
      <c r="A16" s="1" t="s">
        <v>149</v>
      </c>
      <c r="B16" s="1" t="s">
        <v>150</v>
      </c>
      <c r="C16" s="1" t="s">
        <v>151</v>
      </c>
    </row>
    <row r="17" spans="1:13" x14ac:dyDescent="0.25">
      <c r="A17" s="1" t="s">
        <v>152</v>
      </c>
      <c r="B17" s="1" t="s">
        <v>153</v>
      </c>
      <c r="C17" s="1" t="s">
        <v>154</v>
      </c>
    </row>
    <row r="18" spans="1:13" x14ac:dyDescent="0.25">
      <c r="A18" s="1" t="s">
        <v>155</v>
      </c>
      <c r="B18" s="1" t="s">
        <v>156</v>
      </c>
      <c r="C18" s="1" t="s">
        <v>157</v>
      </c>
    </row>
    <row r="19" spans="1:13" x14ac:dyDescent="0.25">
      <c r="A19" s="1" t="s">
        <v>158</v>
      </c>
      <c r="B19" s="1" t="s">
        <v>159</v>
      </c>
      <c r="C19" s="1" t="s">
        <v>160</v>
      </c>
    </row>
    <row r="20" spans="1:13" x14ac:dyDescent="0.25">
      <c r="A20" s="1" t="s">
        <v>161</v>
      </c>
      <c r="B20" s="1" t="s">
        <v>162</v>
      </c>
      <c r="C20" s="1" t="s">
        <v>163</v>
      </c>
    </row>
    <row r="21" spans="1:13" x14ac:dyDescent="0.25">
      <c r="A21" s="1" t="s">
        <v>164</v>
      </c>
      <c r="B21" s="1" t="s">
        <v>165</v>
      </c>
      <c r="C21" s="1" t="s">
        <v>166</v>
      </c>
    </row>
    <row r="22" spans="1:13" x14ac:dyDescent="0.25">
      <c r="A22" s="1" t="s">
        <v>167</v>
      </c>
      <c r="B22" s="1" t="s">
        <v>168</v>
      </c>
      <c r="C22" s="1" t="s">
        <v>169</v>
      </c>
    </row>
    <row r="23" spans="1:13" x14ac:dyDescent="0.25">
      <c r="A23" s="1" t="s">
        <v>170</v>
      </c>
      <c r="B23" s="1" t="s">
        <v>171</v>
      </c>
      <c r="C23" s="1" t="s">
        <v>172</v>
      </c>
      <c r="K23" s="48"/>
      <c r="L23" s="48"/>
      <c r="M23" s="48"/>
    </row>
    <row r="24" spans="1:13" x14ac:dyDescent="0.25">
      <c r="A24" s="1" t="s">
        <v>173</v>
      </c>
      <c r="B24" s="1" t="s">
        <v>174</v>
      </c>
      <c r="C24" s="1" t="s">
        <v>175</v>
      </c>
    </row>
    <row r="25" spans="1:13" x14ac:dyDescent="0.25">
      <c r="A25" s="1" t="s">
        <v>176</v>
      </c>
      <c r="B25" s="1" t="s">
        <v>177</v>
      </c>
      <c r="C25" s="1" t="s">
        <v>178</v>
      </c>
    </row>
    <row r="26" spans="1:13" x14ac:dyDescent="0.25">
      <c r="A26" s="1" t="s">
        <v>179</v>
      </c>
      <c r="B26" s="1" t="s">
        <v>180</v>
      </c>
      <c r="C26" s="1" t="s">
        <v>181</v>
      </c>
    </row>
    <row r="27" spans="1:13" x14ac:dyDescent="0.25">
      <c r="A27" s="1" t="s">
        <v>182</v>
      </c>
      <c r="B27" s="1" t="s">
        <v>183</v>
      </c>
      <c r="C27" s="1" t="s">
        <v>184</v>
      </c>
    </row>
    <row r="28" spans="1:13" x14ac:dyDescent="0.25">
      <c r="A28" s="1" t="s">
        <v>185</v>
      </c>
      <c r="B28" s="1" t="s">
        <v>186</v>
      </c>
      <c r="C28" s="1" t="s">
        <v>187</v>
      </c>
    </row>
    <row r="29" spans="1:13" x14ac:dyDescent="0.25">
      <c r="A29" s="1" t="s">
        <v>188</v>
      </c>
      <c r="B29" s="1" t="s">
        <v>189</v>
      </c>
      <c r="C29" s="1" t="s">
        <v>190</v>
      </c>
    </row>
    <row r="30" spans="1:13" x14ac:dyDescent="0.25">
      <c r="A30" s="1" t="s">
        <v>191</v>
      </c>
      <c r="B30" s="1" t="s">
        <v>192</v>
      </c>
      <c r="C30" s="1" t="s">
        <v>193</v>
      </c>
    </row>
    <row r="31" spans="1:13" x14ac:dyDescent="0.25">
      <c r="A31" s="1" t="s">
        <v>194</v>
      </c>
      <c r="B31" s="1" t="s">
        <v>195</v>
      </c>
      <c r="C31" s="1" t="s">
        <v>196</v>
      </c>
    </row>
    <row r="32" spans="1:13" x14ac:dyDescent="0.25">
      <c r="A32" s="1" t="s">
        <v>197</v>
      </c>
      <c r="B32" s="1" t="s">
        <v>198</v>
      </c>
      <c r="C32" s="1" t="s">
        <v>199</v>
      </c>
    </row>
    <row r="33" spans="1:3" ht="15" customHeight="1" x14ac:dyDescent="0.25">
      <c r="A33" s="1" t="s">
        <v>200</v>
      </c>
      <c r="B33" s="1" t="s">
        <v>201</v>
      </c>
      <c r="C33" s="1" t="s">
        <v>202</v>
      </c>
    </row>
    <row r="34" spans="1:3" x14ac:dyDescent="0.25">
      <c r="A34" s="1" t="s">
        <v>203</v>
      </c>
      <c r="B34" s="1" t="s">
        <v>204</v>
      </c>
      <c r="C34" s="1" t="s">
        <v>205</v>
      </c>
    </row>
    <row r="35" spans="1:3" x14ac:dyDescent="0.25">
      <c r="A35" s="1" t="s">
        <v>206</v>
      </c>
      <c r="B35" s="1" t="s">
        <v>207</v>
      </c>
      <c r="C35" s="1" t="s">
        <v>208</v>
      </c>
    </row>
    <row r="36" spans="1:3" x14ac:dyDescent="0.25">
      <c r="A36" s="1" t="s">
        <v>209</v>
      </c>
      <c r="B36" s="1" t="s">
        <v>210</v>
      </c>
      <c r="C36" s="1" t="s">
        <v>211</v>
      </c>
    </row>
    <row r="37" spans="1:3" x14ac:dyDescent="0.25">
      <c r="A37" s="1" t="s">
        <v>212</v>
      </c>
      <c r="B37" s="1" t="s">
        <v>213</v>
      </c>
      <c r="C37" s="1" t="s">
        <v>214</v>
      </c>
    </row>
    <row r="38" spans="1:3" x14ac:dyDescent="0.25">
      <c r="A38" s="1" t="s">
        <v>215</v>
      </c>
      <c r="B38" s="1" t="s">
        <v>216</v>
      </c>
      <c r="C38" s="1" t="s">
        <v>217</v>
      </c>
    </row>
    <row r="39" spans="1:3" x14ac:dyDescent="0.25">
      <c r="A39" s="1" t="s">
        <v>218</v>
      </c>
      <c r="B39" s="1" t="s">
        <v>219</v>
      </c>
      <c r="C39" s="1" t="s">
        <v>220</v>
      </c>
    </row>
    <row r="40" spans="1:3" x14ac:dyDescent="0.25">
      <c r="A40" s="1" t="s">
        <v>221</v>
      </c>
      <c r="B40" s="1" t="s">
        <v>222</v>
      </c>
      <c r="C40" s="1" t="s">
        <v>223</v>
      </c>
    </row>
    <row r="41" spans="1:3" x14ac:dyDescent="0.25">
      <c r="A41" s="1" t="s">
        <v>224</v>
      </c>
      <c r="B41" s="1" t="s">
        <v>225</v>
      </c>
      <c r="C41" s="1" t="s">
        <v>226</v>
      </c>
    </row>
    <row r="42" spans="1:3" x14ac:dyDescent="0.25">
      <c r="A42" s="1" t="s">
        <v>227</v>
      </c>
      <c r="B42" s="1" t="s">
        <v>228</v>
      </c>
      <c r="C42" s="1" t="s">
        <v>229</v>
      </c>
    </row>
    <row r="43" spans="1:3" x14ac:dyDescent="0.25">
      <c r="A43" s="1" t="s">
        <v>230</v>
      </c>
      <c r="B43" s="1" t="s">
        <v>231</v>
      </c>
      <c r="C43" s="1" t="s">
        <v>232</v>
      </c>
    </row>
    <row r="44" spans="1:3" x14ac:dyDescent="0.25">
      <c r="A44" s="1" t="s">
        <v>233</v>
      </c>
      <c r="B44" s="1" t="s">
        <v>234</v>
      </c>
      <c r="C44" s="1" t="s">
        <v>235</v>
      </c>
    </row>
    <row r="45" spans="1:3" x14ac:dyDescent="0.25">
      <c r="A45" s="1" t="s">
        <v>236</v>
      </c>
      <c r="B45" s="1" t="s">
        <v>237</v>
      </c>
      <c r="C45" s="1" t="s">
        <v>238</v>
      </c>
    </row>
    <row r="46" spans="1:3" x14ac:dyDescent="0.25">
      <c r="A46" s="1" t="s">
        <v>239</v>
      </c>
      <c r="B46" s="1" t="s">
        <v>240</v>
      </c>
      <c r="C46" s="1" t="s">
        <v>241</v>
      </c>
    </row>
    <row r="47" spans="1:3" x14ac:dyDescent="0.25">
      <c r="A47" s="1" t="s">
        <v>242</v>
      </c>
      <c r="B47" s="1" t="s">
        <v>243</v>
      </c>
      <c r="C47" s="1" t="s">
        <v>244</v>
      </c>
    </row>
    <row r="48" spans="1:3" x14ac:dyDescent="0.25">
      <c r="A48" s="1" t="s">
        <v>245</v>
      </c>
      <c r="B48" s="1" t="s">
        <v>246</v>
      </c>
      <c r="C48" s="1" t="s">
        <v>247</v>
      </c>
    </row>
    <row r="49" spans="1:3" x14ac:dyDescent="0.25">
      <c r="A49" s="1" t="s">
        <v>248</v>
      </c>
      <c r="B49" s="1" t="s">
        <v>248</v>
      </c>
      <c r="C49" s="1" t="s">
        <v>249</v>
      </c>
    </row>
    <row r="50" spans="1:3" x14ac:dyDescent="0.25">
      <c r="A50" s="1" t="s">
        <v>250</v>
      </c>
      <c r="B50" s="1" t="s">
        <v>251</v>
      </c>
      <c r="C50" s="1" t="s">
        <v>252</v>
      </c>
    </row>
    <row r="51" spans="1:3" x14ac:dyDescent="0.25">
      <c r="A51" s="1" t="s">
        <v>253</v>
      </c>
      <c r="B51" s="1" t="s">
        <v>254</v>
      </c>
      <c r="C51" s="1" t="s">
        <v>255</v>
      </c>
    </row>
    <row r="52" spans="1:3" x14ac:dyDescent="0.25">
      <c r="A52" s="1" t="s">
        <v>256</v>
      </c>
      <c r="B52" s="1" t="s">
        <v>257</v>
      </c>
      <c r="C52" s="1" t="s">
        <v>258</v>
      </c>
    </row>
    <row r="53" spans="1:3" x14ac:dyDescent="0.25">
      <c r="A53" s="1" t="s">
        <v>259</v>
      </c>
      <c r="B53" s="1" t="s">
        <v>260</v>
      </c>
      <c r="C53" s="1" t="s">
        <v>261</v>
      </c>
    </row>
    <row r="54" spans="1:3" x14ac:dyDescent="0.25">
      <c r="A54" s="1" t="s">
        <v>262</v>
      </c>
      <c r="B54" s="1" t="s">
        <v>263</v>
      </c>
      <c r="C54" s="1" t="s">
        <v>264</v>
      </c>
    </row>
    <row r="55" spans="1:3" x14ac:dyDescent="0.25">
      <c r="A55" s="1" t="s">
        <v>265</v>
      </c>
      <c r="B55" s="1" t="s">
        <v>266</v>
      </c>
      <c r="C55" s="1" t="s">
        <v>267</v>
      </c>
    </row>
    <row r="56" spans="1:3" x14ac:dyDescent="0.25">
      <c r="A56" s="1" t="s">
        <v>268</v>
      </c>
      <c r="B56" s="1" t="s">
        <v>269</v>
      </c>
      <c r="C56" s="1" t="s">
        <v>270</v>
      </c>
    </row>
    <row r="57" spans="1:3" x14ac:dyDescent="0.25">
      <c r="A57" s="1" t="s">
        <v>271</v>
      </c>
      <c r="B57" s="1" t="s">
        <v>272</v>
      </c>
      <c r="C57" s="1" t="s">
        <v>273</v>
      </c>
    </row>
    <row r="58" spans="1:3" x14ac:dyDescent="0.25">
      <c r="A58" s="1" t="s">
        <v>274</v>
      </c>
      <c r="B58" s="1" t="s">
        <v>275</v>
      </c>
      <c r="C58" s="1" t="s">
        <v>276</v>
      </c>
    </row>
    <row r="59" spans="1:3" x14ac:dyDescent="0.25">
      <c r="A59" s="1" t="s">
        <v>277</v>
      </c>
      <c r="B59" s="1" t="s">
        <v>278</v>
      </c>
      <c r="C59" s="1" t="s">
        <v>279</v>
      </c>
    </row>
    <row r="60" spans="1:3" x14ac:dyDescent="0.25">
      <c r="A60" s="1" t="s">
        <v>280</v>
      </c>
      <c r="B60" s="1" t="s">
        <v>281</v>
      </c>
      <c r="C60" s="1" t="s">
        <v>282</v>
      </c>
    </row>
    <row r="61" spans="1:3" x14ac:dyDescent="0.25">
      <c r="A61" s="1" t="s">
        <v>283</v>
      </c>
      <c r="B61" s="1" t="s">
        <v>284</v>
      </c>
      <c r="C61" s="1" t="s">
        <v>285</v>
      </c>
    </row>
    <row r="62" spans="1:3" x14ac:dyDescent="0.25">
      <c r="A62" s="1" t="s">
        <v>286</v>
      </c>
      <c r="B62" s="1" t="s">
        <v>287</v>
      </c>
      <c r="C62" s="1" t="s">
        <v>288</v>
      </c>
    </row>
    <row r="63" spans="1:3" x14ac:dyDescent="0.25">
      <c r="A63" s="1" t="s">
        <v>289</v>
      </c>
      <c r="B63" s="1" t="s">
        <v>290</v>
      </c>
      <c r="C63" s="1" t="s">
        <v>291</v>
      </c>
    </row>
    <row r="64" spans="1:3" x14ac:dyDescent="0.25">
      <c r="A64" s="1" t="s">
        <v>292</v>
      </c>
      <c r="B64" s="1" t="s">
        <v>293</v>
      </c>
      <c r="C64" s="1" t="s">
        <v>294</v>
      </c>
    </row>
    <row r="67" spans="1:14" ht="27.75" customHeight="1" x14ac:dyDescent="0.25"/>
    <row r="68" spans="1:14" ht="18.75" x14ac:dyDescent="0.25">
      <c r="A68" s="46" t="s">
        <v>295</v>
      </c>
      <c r="B68" s="46"/>
      <c r="C68" s="46"/>
      <c r="D68" s="46"/>
      <c r="E68" s="46"/>
      <c r="F68" s="46"/>
      <c r="G68" s="46"/>
      <c r="H68" s="46"/>
      <c r="I68" s="46"/>
      <c r="J68" s="46"/>
      <c r="K68" s="46"/>
      <c r="L68" s="46"/>
      <c r="M68" s="46"/>
      <c r="N68" s="26"/>
    </row>
    <row r="69" spans="1:14" ht="54" customHeight="1" x14ac:dyDescent="0.25">
      <c r="A69" s="45" t="s">
        <v>296</v>
      </c>
      <c r="B69" s="45"/>
      <c r="C69" s="45"/>
      <c r="D69" s="45"/>
      <c r="E69" s="45"/>
      <c r="F69" s="45"/>
      <c r="G69" s="45"/>
      <c r="H69" s="45"/>
      <c r="I69" s="45"/>
      <c r="J69" s="45"/>
      <c r="K69" s="45"/>
      <c r="L69" s="45"/>
      <c r="M69" s="45"/>
      <c r="N69" s="27"/>
    </row>
    <row r="70" spans="1:14" x14ac:dyDescent="0.25">
      <c r="A70" s="1" t="s">
        <v>297</v>
      </c>
      <c r="B70" s="1" t="s">
        <v>298</v>
      </c>
      <c r="C70" s="1" t="s">
        <v>299</v>
      </c>
    </row>
    <row r="71" spans="1:14" x14ac:dyDescent="0.25">
      <c r="A71" s="1" t="s">
        <v>300</v>
      </c>
      <c r="B71" s="1" t="s">
        <v>301</v>
      </c>
      <c r="C71" s="1" t="s">
        <v>302</v>
      </c>
    </row>
    <row r="72" spans="1:14" x14ac:dyDescent="0.25">
      <c r="A72" s="1" t="s">
        <v>303</v>
      </c>
      <c r="B72" s="1" t="s">
        <v>304</v>
      </c>
      <c r="C72" s="1" t="s">
        <v>305</v>
      </c>
    </row>
    <row r="73" spans="1:14" x14ac:dyDescent="0.25">
      <c r="A73" s="1" t="s">
        <v>306</v>
      </c>
      <c r="B73" s="1" t="s">
        <v>307</v>
      </c>
      <c r="C73" s="1" t="s">
        <v>308</v>
      </c>
    </row>
    <row r="74" spans="1:14" x14ac:dyDescent="0.25">
      <c r="A74" s="1" t="s">
        <v>309</v>
      </c>
      <c r="B74" s="1" t="s">
        <v>310</v>
      </c>
      <c r="C74" s="1" t="s">
        <v>311</v>
      </c>
    </row>
    <row r="75" spans="1:14" x14ac:dyDescent="0.25">
      <c r="A75" s="1" t="s">
        <v>312</v>
      </c>
      <c r="B75" s="1" t="s">
        <v>313</v>
      </c>
      <c r="C75" s="1" t="s">
        <v>314</v>
      </c>
    </row>
    <row r="76" spans="1:14" x14ac:dyDescent="0.25">
      <c r="A76" s="1" t="s">
        <v>315</v>
      </c>
      <c r="B76" s="1" t="s">
        <v>316</v>
      </c>
      <c r="C76" s="1" t="s">
        <v>317</v>
      </c>
    </row>
    <row r="77" spans="1:14" x14ac:dyDescent="0.25">
      <c r="A77" s="1" t="s">
        <v>318</v>
      </c>
      <c r="B77" s="1" t="s">
        <v>319</v>
      </c>
      <c r="C77" s="1" t="s">
        <v>320</v>
      </c>
    </row>
    <row r="78" spans="1:14" x14ac:dyDescent="0.25">
      <c r="A78" s="1" t="s">
        <v>321</v>
      </c>
      <c r="B78" s="1" t="s">
        <v>322</v>
      </c>
      <c r="C78" s="1" t="s">
        <v>323</v>
      </c>
    </row>
    <row r="79" spans="1:14" x14ac:dyDescent="0.25">
      <c r="A79" s="1" t="s">
        <v>324</v>
      </c>
      <c r="B79" s="1" t="s">
        <v>325</v>
      </c>
      <c r="C79" s="1" t="s">
        <v>326</v>
      </c>
    </row>
    <row r="80" spans="1:14" x14ac:dyDescent="0.25">
      <c r="A80" s="1" t="s">
        <v>327</v>
      </c>
      <c r="B80" s="1" t="s">
        <v>328</v>
      </c>
      <c r="C80" s="1" t="s">
        <v>329</v>
      </c>
    </row>
    <row r="81" spans="1:7" x14ac:dyDescent="0.25">
      <c r="A81" s="1" t="s">
        <v>330</v>
      </c>
      <c r="B81" s="1" t="s">
        <v>331</v>
      </c>
      <c r="C81" s="1" t="s">
        <v>332</v>
      </c>
    </row>
    <row r="82" spans="1:7" x14ac:dyDescent="0.25">
      <c r="A82" s="1" t="s">
        <v>333</v>
      </c>
      <c r="B82" s="1" t="s">
        <v>334</v>
      </c>
      <c r="C82" s="1" t="s">
        <v>335</v>
      </c>
    </row>
    <row r="83" spans="1:7" x14ac:dyDescent="0.25">
      <c r="A83" s="1" t="s">
        <v>336</v>
      </c>
      <c r="B83" s="1" t="s">
        <v>337</v>
      </c>
      <c r="C83" s="1" t="s">
        <v>338</v>
      </c>
    </row>
    <row r="84" spans="1:7" x14ac:dyDescent="0.25">
      <c r="A84" s="1" t="s">
        <v>339</v>
      </c>
      <c r="B84" s="1" t="s">
        <v>340</v>
      </c>
      <c r="C84" s="1" t="s">
        <v>341</v>
      </c>
    </row>
    <row r="85" spans="1:7" x14ac:dyDescent="0.25">
      <c r="A85" s="1" t="s">
        <v>342</v>
      </c>
      <c r="B85" s="1" t="s">
        <v>343</v>
      </c>
      <c r="C85" s="1" t="s">
        <v>344</v>
      </c>
    </row>
    <row r="86" spans="1:7" x14ac:dyDescent="0.25">
      <c r="A86" s="1" t="s">
        <v>345</v>
      </c>
      <c r="B86" s="1" t="s">
        <v>346</v>
      </c>
      <c r="C86" s="1" t="s">
        <v>347</v>
      </c>
    </row>
    <row r="87" spans="1:7" x14ac:dyDescent="0.25">
      <c r="A87" s="1" t="s">
        <v>348</v>
      </c>
      <c r="B87" s="1" t="s">
        <v>349</v>
      </c>
      <c r="C87" s="1" t="s">
        <v>350</v>
      </c>
    </row>
    <row r="88" spans="1:7" x14ac:dyDescent="0.25">
      <c r="A88" s="1" t="s">
        <v>351</v>
      </c>
      <c r="B88" s="1" t="s">
        <v>352</v>
      </c>
      <c r="C88" s="1" t="s">
        <v>353</v>
      </c>
    </row>
    <row r="89" spans="1:7" x14ac:dyDescent="0.25">
      <c r="A89" s="1" t="s">
        <v>354</v>
      </c>
      <c r="B89" s="1" t="s">
        <v>355</v>
      </c>
      <c r="C89" s="1" t="s">
        <v>356</v>
      </c>
    </row>
    <row r="90" spans="1:7" x14ac:dyDescent="0.25">
      <c r="A90" s="1" t="s">
        <v>357</v>
      </c>
      <c r="B90" s="1" t="s">
        <v>358</v>
      </c>
      <c r="C90" s="1" t="s">
        <v>359</v>
      </c>
    </row>
    <row r="91" spans="1:7" x14ac:dyDescent="0.25">
      <c r="A91" s="1" t="s">
        <v>360</v>
      </c>
      <c r="B91" s="1" t="s">
        <v>361</v>
      </c>
      <c r="C91" s="1" t="s">
        <v>362</v>
      </c>
    </row>
    <row r="92" spans="1:7" x14ac:dyDescent="0.25">
      <c r="A92" s="1" t="s">
        <v>363</v>
      </c>
      <c r="B92" s="1" t="s">
        <v>364</v>
      </c>
      <c r="C92" s="1" t="s">
        <v>365</v>
      </c>
    </row>
    <row r="93" spans="1:7" x14ac:dyDescent="0.25">
      <c r="A93" s="1" t="s">
        <v>366</v>
      </c>
      <c r="B93" s="1" t="s">
        <v>367</v>
      </c>
      <c r="C93" s="1" t="s">
        <v>368</v>
      </c>
    </row>
    <row r="94" spans="1:7" x14ac:dyDescent="0.25">
      <c r="A94" s="1" t="s">
        <v>369</v>
      </c>
      <c r="B94" s="1" t="s">
        <v>370</v>
      </c>
      <c r="C94" s="1" t="s">
        <v>371</v>
      </c>
    </row>
    <row r="95" spans="1:7" x14ac:dyDescent="0.25">
      <c r="A95" s="1" t="s">
        <v>372</v>
      </c>
      <c r="B95" s="1" t="s">
        <v>373</v>
      </c>
      <c r="C95" s="1" t="s">
        <v>374</v>
      </c>
    </row>
    <row r="96" spans="1:7" x14ac:dyDescent="0.25">
      <c r="A96" s="1" t="s">
        <v>375</v>
      </c>
      <c r="B96" s="1" t="s">
        <v>376</v>
      </c>
      <c r="C96" s="1" t="s">
        <v>377</v>
      </c>
      <c r="E96" s="48"/>
      <c r="F96" s="48"/>
      <c r="G96" s="48"/>
    </row>
    <row r="97" spans="1:3" x14ac:dyDescent="0.25">
      <c r="A97" s="49" t="s">
        <v>378</v>
      </c>
      <c r="B97" s="49"/>
      <c r="C97" s="49"/>
    </row>
    <row r="98" spans="1:3" x14ac:dyDescent="0.25">
      <c r="A98" s="1" t="s">
        <v>379</v>
      </c>
      <c r="B98" s="1" t="s">
        <v>376</v>
      </c>
      <c r="C98" s="1" t="s">
        <v>380</v>
      </c>
    </row>
    <row r="99" spans="1:3" x14ac:dyDescent="0.25">
      <c r="A99" s="1" t="s">
        <v>381</v>
      </c>
      <c r="B99" s="1" t="s">
        <v>382</v>
      </c>
      <c r="C99" s="1" t="s">
        <v>383</v>
      </c>
    </row>
    <row r="100" spans="1:3" x14ac:dyDescent="0.25">
      <c r="A100" s="1" t="s">
        <v>384</v>
      </c>
      <c r="B100" s="1" t="s">
        <v>385</v>
      </c>
      <c r="C100" s="1" t="s">
        <v>386</v>
      </c>
    </row>
    <row r="101" spans="1:3" x14ac:dyDescent="0.25">
      <c r="A101" s="1" t="s">
        <v>387</v>
      </c>
      <c r="B101" s="1" t="s">
        <v>388</v>
      </c>
      <c r="C101" s="1" t="s">
        <v>389</v>
      </c>
    </row>
    <row r="102" spans="1:3" x14ac:dyDescent="0.25">
      <c r="A102" s="1" t="s">
        <v>390</v>
      </c>
      <c r="B102" s="1" t="s">
        <v>310</v>
      </c>
      <c r="C102" s="1" t="s">
        <v>391</v>
      </c>
    </row>
    <row r="103" spans="1:3" x14ac:dyDescent="0.25">
      <c r="A103" s="1" t="s">
        <v>392</v>
      </c>
      <c r="B103" s="1" t="s">
        <v>393</v>
      </c>
      <c r="C103" s="1" t="s">
        <v>394</v>
      </c>
    </row>
    <row r="104" spans="1:3" x14ac:dyDescent="0.25">
      <c r="A104" s="1" t="s">
        <v>395</v>
      </c>
      <c r="B104" s="1" t="s">
        <v>298</v>
      </c>
      <c r="C104" s="1" t="s">
        <v>396</v>
      </c>
    </row>
    <row r="105" spans="1:3" x14ac:dyDescent="0.25">
      <c r="A105" s="1" t="s">
        <v>397</v>
      </c>
      <c r="B105" s="1" t="s">
        <v>398</v>
      </c>
      <c r="C105" s="1" t="s">
        <v>399</v>
      </c>
    </row>
    <row r="106" spans="1:3" x14ac:dyDescent="0.25">
      <c r="A106" s="1" t="s">
        <v>400</v>
      </c>
      <c r="B106" s="1" t="s">
        <v>401</v>
      </c>
      <c r="C106" s="1" t="s">
        <v>402</v>
      </c>
    </row>
    <row r="107" spans="1:3" x14ac:dyDescent="0.25">
      <c r="A107" s="1" t="s">
        <v>403</v>
      </c>
      <c r="B107" s="1" t="s">
        <v>404</v>
      </c>
      <c r="C107" s="1" t="s">
        <v>405</v>
      </c>
    </row>
    <row r="108" spans="1:3" x14ac:dyDescent="0.25">
      <c r="A108" s="1" t="s">
        <v>406</v>
      </c>
      <c r="B108" s="1" t="s">
        <v>301</v>
      </c>
      <c r="C108" s="1" t="s">
        <v>407</v>
      </c>
    </row>
    <row r="109" spans="1:3" x14ac:dyDescent="0.25">
      <c r="A109" s="1" t="s">
        <v>408</v>
      </c>
      <c r="B109" s="1" t="s">
        <v>307</v>
      </c>
      <c r="C109" s="1" t="s">
        <v>409</v>
      </c>
    </row>
    <row r="110" spans="1:3" x14ac:dyDescent="0.25">
      <c r="A110" s="1" t="s">
        <v>410</v>
      </c>
      <c r="B110" s="1" t="s">
        <v>411</v>
      </c>
      <c r="C110" s="1" t="s">
        <v>412</v>
      </c>
    </row>
    <row r="111" spans="1:3" x14ac:dyDescent="0.25">
      <c r="A111" s="1" t="s">
        <v>413</v>
      </c>
      <c r="B111" s="1" t="s">
        <v>414</v>
      </c>
      <c r="C111" s="1" t="s">
        <v>415</v>
      </c>
    </row>
    <row r="112" spans="1:3" x14ac:dyDescent="0.25">
      <c r="A112" s="1" t="s">
        <v>416</v>
      </c>
      <c r="B112" s="1" t="s">
        <v>417</v>
      </c>
      <c r="C112" s="1" t="s">
        <v>418</v>
      </c>
    </row>
    <row r="113" spans="1:3" x14ac:dyDescent="0.25">
      <c r="A113" s="1" t="s">
        <v>419</v>
      </c>
      <c r="B113" s="1" t="s">
        <v>313</v>
      </c>
      <c r="C113" s="1" t="s">
        <v>420</v>
      </c>
    </row>
    <row r="114" spans="1:3" x14ac:dyDescent="0.25">
      <c r="A114" s="1" t="s">
        <v>421</v>
      </c>
      <c r="B114" s="1" t="s">
        <v>422</v>
      </c>
      <c r="C114" s="1" t="s">
        <v>423</v>
      </c>
    </row>
    <row r="115" spans="1:3" x14ac:dyDescent="0.25">
      <c r="A115" s="1" t="s">
        <v>424</v>
      </c>
      <c r="B115" s="1" t="s">
        <v>319</v>
      </c>
      <c r="C115" s="1" t="s">
        <v>425</v>
      </c>
    </row>
    <row r="116" spans="1:3" x14ac:dyDescent="0.25">
      <c r="A116" s="1" t="s">
        <v>426</v>
      </c>
      <c r="B116" s="1" t="s">
        <v>328</v>
      </c>
      <c r="C116" s="1" t="s">
        <v>427</v>
      </c>
    </row>
    <row r="117" spans="1:3" x14ac:dyDescent="0.25">
      <c r="A117" s="1" t="s">
        <v>428</v>
      </c>
      <c r="B117" s="1" t="s">
        <v>322</v>
      </c>
      <c r="C117" s="1" t="s">
        <v>429</v>
      </c>
    </row>
    <row r="118" spans="1:3" x14ac:dyDescent="0.25">
      <c r="A118" s="1" t="s">
        <v>430</v>
      </c>
      <c r="B118" s="1" t="s">
        <v>337</v>
      </c>
      <c r="C118" s="1" t="s">
        <v>431</v>
      </c>
    </row>
    <row r="119" spans="1:3" x14ac:dyDescent="0.25">
      <c r="A119" s="1" t="s">
        <v>432</v>
      </c>
      <c r="B119" s="1" t="s">
        <v>433</v>
      </c>
      <c r="C119" s="1" t="s">
        <v>434</v>
      </c>
    </row>
    <row r="120" spans="1:3" x14ac:dyDescent="0.25">
      <c r="A120" s="1" t="s">
        <v>435</v>
      </c>
      <c r="B120" s="1" t="s">
        <v>340</v>
      </c>
      <c r="C120" s="1" t="s">
        <v>436</v>
      </c>
    </row>
    <row r="121" spans="1:3" x14ac:dyDescent="0.25">
      <c r="A121" s="1" t="s">
        <v>437</v>
      </c>
      <c r="B121" s="1" t="s">
        <v>343</v>
      </c>
      <c r="C121" s="1" t="s">
        <v>438</v>
      </c>
    </row>
    <row r="122" spans="1:3" x14ac:dyDescent="0.25">
      <c r="A122" s="1" t="s">
        <v>439</v>
      </c>
      <c r="B122" s="1" t="s">
        <v>440</v>
      </c>
      <c r="C122" s="1" t="s">
        <v>441</v>
      </c>
    </row>
    <row r="123" spans="1:3" x14ac:dyDescent="0.25">
      <c r="A123" s="1" t="s">
        <v>442</v>
      </c>
      <c r="B123" s="1" t="s">
        <v>346</v>
      </c>
      <c r="C123" s="1" t="s">
        <v>443</v>
      </c>
    </row>
    <row r="124" spans="1:3" x14ac:dyDescent="0.25">
      <c r="A124" s="1" t="s">
        <v>444</v>
      </c>
      <c r="B124" s="1" t="s">
        <v>349</v>
      </c>
      <c r="C124" s="1" t="s">
        <v>445</v>
      </c>
    </row>
    <row r="125" spans="1:3" x14ac:dyDescent="0.25">
      <c r="A125" s="1" t="s">
        <v>446</v>
      </c>
      <c r="B125" s="1" t="s">
        <v>447</v>
      </c>
      <c r="C125" s="1" t="s">
        <v>448</v>
      </c>
    </row>
    <row r="126" spans="1:3" x14ac:dyDescent="0.25">
      <c r="A126" s="1" t="s">
        <v>449</v>
      </c>
      <c r="B126" s="1" t="s">
        <v>349</v>
      </c>
      <c r="C126" s="1" t="s">
        <v>450</v>
      </c>
    </row>
    <row r="127" spans="1:3" x14ac:dyDescent="0.25">
      <c r="A127" s="1" t="s">
        <v>451</v>
      </c>
      <c r="B127" s="1" t="s">
        <v>452</v>
      </c>
      <c r="C127" s="1" t="s">
        <v>453</v>
      </c>
    </row>
    <row r="128" spans="1:3" x14ac:dyDescent="0.25">
      <c r="A128" s="1" t="s">
        <v>454</v>
      </c>
      <c r="B128" s="1" t="s">
        <v>352</v>
      </c>
      <c r="C128" s="1" t="s">
        <v>455</v>
      </c>
    </row>
    <row r="129" spans="1:3" x14ac:dyDescent="0.25">
      <c r="A129" s="1" t="s">
        <v>456</v>
      </c>
      <c r="B129" s="1" t="s">
        <v>358</v>
      </c>
      <c r="C129" s="1" t="s">
        <v>457</v>
      </c>
    </row>
    <row r="130" spans="1:3" x14ac:dyDescent="0.25">
      <c r="A130" s="1" t="s">
        <v>458</v>
      </c>
      <c r="B130" s="1" t="s">
        <v>459</v>
      </c>
      <c r="C130" s="1" t="s">
        <v>460</v>
      </c>
    </row>
    <row r="131" spans="1:3" x14ac:dyDescent="0.25">
      <c r="A131" s="1" t="s">
        <v>461</v>
      </c>
      <c r="B131" s="1" t="s">
        <v>364</v>
      </c>
      <c r="C131" s="1" t="s">
        <v>462</v>
      </c>
    </row>
    <row r="132" spans="1:3" x14ac:dyDescent="0.25">
      <c r="A132" s="1" t="s">
        <v>463</v>
      </c>
      <c r="B132" s="1" t="s">
        <v>361</v>
      </c>
      <c r="C132" s="1" t="s">
        <v>464</v>
      </c>
    </row>
    <row r="133" spans="1:3" x14ac:dyDescent="0.25">
      <c r="A133" s="1" t="s">
        <v>465</v>
      </c>
      <c r="B133" s="1" t="s">
        <v>367</v>
      </c>
      <c r="C133" s="1" t="s">
        <v>466</v>
      </c>
    </row>
    <row r="134" spans="1:3" x14ac:dyDescent="0.25">
      <c r="A134" s="1" t="s">
        <v>467</v>
      </c>
      <c r="B134" s="1" t="s">
        <v>468</v>
      </c>
      <c r="C134" s="1" t="s">
        <v>469</v>
      </c>
    </row>
    <row r="135" spans="1:3" x14ac:dyDescent="0.25">
      <c r="A135" s="1" t="s">
        <v>470</v>
      </c>
      <c r="B135" s="1" t="s">
        <v>471</v>
      </c>
      <c r="C135" s="1" t="s">
        <v>472</v>
      </c>
    </row>
    <row r="136" spans="1:3" x14ac:dyDescent="0.25">
      <c r="A136" s="1" t="s">
        <v>473</v>
      </c>
      <c r="B136" s="1" t="s">
        <v>474</v>
      </c>
      <c r="C136" s="1" t="s">
        <v>475</v>
      </c>
    </row>
    <row r="137" spans="1:3" x14ac:dyDescent="0.25">
      <c r="A137" s="1" t="s">
        <v>476</v>
      </c>
      <c r="B137" s="1" t="s">
        <v>459</v>
      </c>
      <c r="C137" s="1" t="s">
        <v>477</v>
      </c>
    </row>
    <row r="138" spans="1:3" x14ac:dyDescent="0.25">
      <c r="A138" s="1" t="s">
        <v>478</v>
      </c>
      <c r="B138" s="1" t="s">
        <v>376</v>
      </c>
      <c r="C138" s="1" t="s">
        <v>479</v>
      </c>
    </row>
    <row r="139" spans="1:3" x14ac:dyDescent="0.25">
      <c r="A139" s="1" t="s">
        <v>480</v>
      </c>
      <c r="B139" s="1" t="s">
        <v>376</v>
      </c>
      <c r="C139" s="1" t="s">
        <v>481</v>
      </c>
    </row>
    <row r="140" spans="1:3" x14ac:dyDescent="0.25">
      <c r="A140" s="1" t="s">
        <v>482</v>
      </c>
      <c r="B140" s="1" t="s">
        <v>483</v>
      </c>
      <c r="C140" s="1" t="s">
        <v>484</v>
      </c>
    </row>
    <row r="141" spans="1:3" x14ac:dyDescent="0.25">
      <c r="A141" s="1" t="s">
        <v>485</v>
      </c>
      <c r="B141" s="1" t="s">
        <v>486</v>
      </c>
      <c r="C141" s="1" t="s">
        <v>487</v>
      </c>
    </row>
    <row r="142" spans="1:3" x14ac:dyDescent="0.25">
      <c r="A142" s="1" t="s">
        <v>488</v>
      </c>
      <c r="B142" s="1" t="s">
        <v>489</v>
      </c>
      <c r="C142" s="1" t="s">
        <v>490</v>
      </c>
    </row>
    <row r="143" spans="1:3" x14ac:dyDescent="0.25">
      <c r="A143" s="1" t="s">
        <v>491</v>
      </c>
      <c r="B143" s="1" t="s">
        <v>492</v>
      </c>
      <c r="C143" s="1" t="s">
        <v>493</v>
      </c>
    </row>
    <row r="144" spans="1:3" x14ac:dyDescent="0.25">
      <c r="A144" s="1" t="s">
        <v>494</v>
      </c>
      <c r="B144" s="1" t="s">
        <v>495</v>
      </c>
      <c r="C144" s="1" t="s">
        <v>496</v>
      </c>
    </row>
    <row r="145" spans="1:3" x14ac:dyDescent="0.25">
      <c r="A145" s="1" t="s">
        <v>497</v>
      </c>
      <c r="B145" s="1" t="s">
        <v>498</v>
      </c>
      <c r="C145" s="1" t="s">
        <v>499</v>
      </c>
    </row>
    <row r="146" spans="1:3" x14ac:dyDescent="0.25">
      <c r="A146" s="1" t="s">
        <v>500</v>
      </c>
      <c r="B146" s="1" t="s">
        <v>501</v>
      </c>
      <c r="C146" s="1" t="s">
        <v>502</v>
      </c>
    </row>
    <row r="147" spans="1:3" x14ac:dyDescent="0.25">
      <c r="A147" s="1" t="s">
        <v>503</v>
      </c>
      <c r="B147" s="1" t="s">
        <v>504</v>
      </c>
      <c r="C147" s="1" t="s">
        <v>505</v>
      </c>
    </row>
    <row r="148" spans="1:3" x14ac:dyDescent="0.25">
      <c r="A148" s="1" t="s">
        <v>506</v>
      </c>
      <c r="B148" s="1" t="s">
        <v>507</v>
      </c>
      <c r="C148" s="1" t="s">
        <v>508</v>
      </c>
    </row>
    <row r="149" spans="1:3" x14ac:dyDescent="0.25">
      <c r="A149" s="1" t="s">
        <v>509</v>
      </c>
      <c r="B149" s="1" t="s">
        <v>510</v>
      </c>
      <c r="C149" s="1" t="s">
        <v>511</v>
      </c>
    </row>
    <row r="150" spans="1:3" x14ac:dyDescent="0.25">
      <c r="A150" s="1" t="s">
        <v>512</v>
      </c>
      <c r="B150" s="1" t="s">
        <v>513</v>
      </c>
      <c r="C150" s="1" t="s">
        <v>514</v>
      </c>
    </row>
    <row r="151" spans="1:3" x14ac:dyDescent="0.25">
      <c r="A151" s="1" t="s">
        <v>515</v>
      </c>
      <c r="B151" s="1" t="s">
        <v>516</v>
      </c>
      <c r="C151" s="1" t="s">
        <v>517</v>
      </c>
    </row>
    <row r="152" spans="1:3" x14ac:dyDescent="0.25">
      <c r="A152" s="1" t="s">
        <v>518</v>
      </c>
      <c r="B152" s="1" t="s">
        <v>519</v>
      </c>
      <c r="C152" s="1" t="s">
        <v>520</v>
      </c>
    </row>
    <row r="153" spans="1:3" x14ac:dyDescent="0.25">
      <c r="A153" s="1" t="s">
        <v>521</v>
      </c>
      <c r="B153" s="1" t="s">
        <v>522</v>
      </c>
      <c r="C153" s="1" t="s">
        <v>523</v>
      </c>
    </row>
    <row r="154" spans="1:3" x14ac:dyDescent="0.25">
      <c r="A154" s="1" t="s">
        <v>524</v>
      </c>
      <c r="B154" s="1" t="s">
        <v>525</v>
      </c>
      <c r="C154" s="1" t="s">
        <v>526</v>
      </c>
    </row>
    <row r="155" spans="1:3" x14ac:dyDescent="0.25">
      <c r="A155" s="1" t="s">
        <v>527</v>
      </c>
      <c r="B155" s="1" t="s">
        <v>528</v>
      </c>
      <c r="C155" s="1" t="s">
        <v>529</v>
      </c>
    </row>
    <row r="156" spans="1:3" x14ac:dyDescent="0.25">
      <c r="A156" s="1" t="s">
        <v>530</v>
      </c>
      <c r="B156" s="1" t="s">
        <v>531</v>
      </c>
      <c r="C156" s="1" t="s">
        <v>532</v>
      </c>
    </row>
    <row r="157" spans="1:3" x14ac:dyDescent="0.25">
      <c r="A157" s="1" t="s">
        <v>533</v>
      </c>
      <c r="B157" s="1" t="s">
        <v>534</v>
      </c>
      <c r="C157" s="1" t="s">
        <v>535</v>
      </c>
    </row>
    <row r="158" spans="1:3" x14ac:dyDescent="0.25">
      <c r="A158" s="1" t="s">
        <v>536</v>
      </c>
      <c r="B158" s="1" t="s">
        <v>537</v>
      </c>
      <c r="C158" s="1" t="s">
        <v>538</v>
      </c>
    </row>
    <row r="159" spans="1:3" x14ac:dyDescent="0.25">
      <c r="A159" s="1" t="s">
        <v>539</v>
      </c>
      <c r="B159" s="1" t="s">
        <v>540</v>
      </c>
      <c r="C159" s="1" t="s">
        <v>541</v>
      </c>
    </row>
    <row r="160" spans="1:3" x14ac:dyDescent="0.25">
      <c r="A160" s="1" t="s">
        <v>542</v>
      </c>
      <c r="B160" s="1" t="s">
        <v>543</v>
      </c>
      <c r="C160" s="1" t="s">
        <v>544</v>
      </c>
    </row>
    <row r="161" spans="1:3" x14ac:dyDescent="0.25">
      <c r="A161" s="1" t="s">
        <v>545</v>
      </c>
      <c r="B161" s="1" t="s">
        <v>382</v>
      </c>
      <c r="C161" s="1" t="s">
        <v>546</v>
      </c>
    </row>
    <row r="162" spans="1:3" x14ac:dyDescent="0.25">
      <c r="A162" s="1" t="s">
        <v>547</v>
      </c>
      <c r="B162" s="1" t="s">
        <v>548</v>
      </c>
      <c r="C162" s="1" t="s">
        <v>549</v>
      </c>
    </row>
    <row r="163" spans="1:3" x14ac:dyDescent="0.25">
      <c r="A163" s="1" t="s">
        <v>550</v>
      </c>
      <c r="B163" s="1" t="s">
        <v>551</v>
      </c>
      <c r="C163" s="1" t="s">
        <v>552</v>
      </c>
    </row>
    <row r="164" spans="1:3" x14ac:dyDescent="0.25">
      <c r="A164" s="1" t="s">
        <v>553</v>
      </c>
      <c r="B164" s="1" t="s">
        <v>554</v>
      </c>
      <c r="C164" s="1" t="s">
        <v>555</v>
      </c>
    </row>
    <row r="165" spans="1:3" x14ac:dyDescent="0.25">
      <c r="A165" s="1" t="s">
        <v>556</v>
      </c>
      <c r="B165" s="1" t="s">
        <v>557</v>
      </c>
      <c r="C165" s="1" t="s">
        <v>558</v>
      </c>
    </row>
    <row r="166" spans="1:3" x14ac:dyDescent="0.25">
      <c r="A166" s="1" t="s">
        <v>559</v>
      </c>
      <c r="B166" s="1" t="s">
        <v>560</v>
      </c>
      <c r="C166" s="1" t="s">
        <v>561</v>
      </c>
    </row>
    <row r="167" spans="1:3" x14ac:dyDescent="0.25">
      <c r="A167" s="1" t="s">
        <v>562</v>
      </c>
      <c r="B167" s="1" t="s">
        <v>563</v>
      </c>
      <c r="C167" s="1" t="s">
        <v>564</v>
      </c>
    </row>
    <row r="168" spans="1:3" x14ac:dyDescent="0.25">
      <c r="A168" s="1" t="s">
        <v>565</v>
      </c>
      <c r="B168" s="1" t="s">
        <v>566</v>
      </c>
      <c r="C168" s="1" t="s">
        <v>567</v>
      </c>
    </row>
    <row r="169" spans="1:3" x14ac:dyDescent="0.25">
      <c r="A169" s="1" t="s">
        <v>568</v>
      </c>
      <c r="B169" s="1" t="s">
        <v>569</v>
      </c>
      <c r="C169" s="1" t="s">
        <v>570</v>
      </c>
    </row>
    <row r="170" spans="1:3" x14ac:dyDescent="0.25">
      <c r="A170" s="1" t="s">
        <v>571</v>
      </c>
      <c r="B170" s="1" t="s">
        <v>572</v>
      </c>
      <c r="C170" s="1" t="s">
        <v>573</v>
      </c>
    </row>
    <row r="171" spans="1:3" x14ac:dyDescent="0.25">
      <c r="A171" s="1" t="s">
        <v>574</v>
      </c>
      <c r="B171" s="1" t="s">
        <v>575</v>
      </c>
      <c r="C171" s="1" t="s">
        <v>576</v>
      </c>
    </row>
    <row r="172" spans="1:3" x14ac:dyDescent="0.25">
      <c r="A172" s="1" t="s">
        <v>577</v>
      </c>
      <c r="B172" s="1" t="s">
        <v>578</v>
      </c>
      <c r="C172" s="1" t="s">
        <v>579</v>
      </c>
    </row>
    <row r="173" spans="1:3" x14ac:dyDescent="0.25">
      <c r="A173" s="1" t="s">
        <v>580</v>
      </c>
      <c r="B173" s="1" t="s">
        <v>581</v>
      </c>
      <c r="C173" s="1" t="s">
        <v>582</v>
      </c>
    </row>
    <row r="174" spans="1:3" x14ac:dyDescent="0.25">
      <c r="A174" s="1" t="s">
        <v>583</v>
      </c>
      <c r="B174" s="1" t="s">
        <v>584</v>
      </c>
      <c r="C174" s="1" t="s">
        <v>585</v>
      </c>
    </row>
    <row r="175" spans="1:3" x14ac:dyDescent="0.25">
      <c r="A175" s="1" t="s">
        <v>586</v>
      </c>
      <c r="B175" s="1" t="s">
        <v>587</v>
      </c>
      <c r="C175" s="1" t="s">
        <v>588</v>
      </c>
    </row>
    <row r="176" spans="1:3" x14ac:dyDescent="0.25">
      <c r="A176" s="1" t="s">
        <v>589</v>
      </c>
      <c r="B176" s="1" t="s">
        <v>590</v>
      </c>
      <c r="C176" s="1" t="s">
        <v>591</v>
      </c>
    </row>
    <row r="177" spans="1:3" x14ac:dyDescent="0.25">
      <c r="A177" s="1" t="s">
        <v>592</v>
      </c>
      <c r="B177" s="1" t="s">
        <v>593</v>
      </c>
      <c r="C177" s="1" t="s">
        <v>594</v>
      </c>
    </row>
    <row r="178" spans="1:3" x14ac:dyDescent="0.25">
      <c r="A178" s="1" t="s">
        <v>595</v>
      </c>
      <c r="B178" s="1" t="s">
        <v>596</v>
      </c>
      <c r="C178" s="1" t="s">
        <v>597</v>
      </c>
    </row>
    <row r="179" spans="1:3" x14ac:dyDescent="0.25">
      <c r="A179" s="1" t="s">
        <v>598</v>
      </c>
      <c r="B179" s="1" t="s">
        <v>599</v>
      </c>
      <c r="C179" s="1" t="s">
        <v>600</v>
      </c>
    </row>
    <row r="180" spans="1:3" x14ac:dyDescent="0.25">
      <c r="A180" s="1" t="s">
        <v>601</v>
      </c>
      <c r="B180" s="1" t="s">
        <v>602</v>
      </c>
      <c r="C180" s="1" t="s">
        <v>603</v>
      </c>
    </row>
    <row r="181" spans="1:3" x14ac:dyDescent="0.25">
      <c r="A181" s="1" t="s">
        <v>604</v>
      </c>
      <c r="B181" s="1" t="s">
        <v>605</v>
      </c>
      <c r="C181" s="1" t="s">
        <v>606</v>
      </c>
    </row>
    <row r="182" spans="1:3" x14ac:dyDescent="0.25">
      <c r="A182" s="1" t="s">
        <v>607</v>
      </c>
      <c r="B182" s="1" t="s">
        <v>608</v>
      </c>
      <c r="C182" s="1" t="s">
        <v>609</v>
      </c>
    </row>
    <row r="183" spans="1:3" x14ac:dyDescent="0.25">
      <c r="A183" s="1" t="s">
        <v>610</v>
      </c>
      <c r="B183" s="1" t="s">
        <v>611</v>
      </c>
      <c r="C183" s="1" t="s">
        <v>612</v>
      </c>
    </row>
    <row r="184" spans="1:3" x14ac:dyDescent="0.25">
      <c r="A184" s="1" t="s">
        <v>613</v>
      </c>
      <c r="B184" s="1" t="s">
        <v>614</v>
      </c>
      <c r="C184" s="1" t="s">
        <v>615</v>
      </c>
    </row>
    <row r="185" spans="1:3" x14ac:dyDescent="0.25">
      <c r="A185" s="1" t="s">
        <v>616</v>
      </c>
      <c r="B185" s="1" t="s">
        <v>617</v>
      </c>
      <c r="C185" s="1" t="s">
        <v>618</v>
      </c>
    </row>
    <row r="186" spans="1:3" x14ac:dyDescent="0.25">
      <c r="A186" s="1" t="s">
        <v>619</v>
      </c>
      <c r="B186" s="1" t="s">
        <v>620</v>
      </c>
      <c r="C186" s="1" t="s">
        <v>621</v>
      </c>
    </row>
    <row r="187" spans="1:3" x14ac:dyDescent="0.25">
      <c r="A187" s="1" t="s">
        <v>622</v>
      </c>
      <c r="B187" s="1" t="s">
        <v>623</v>
      </c>
      <c r="C187" s="1" t="s">
        <v>624</v>
      </c>
    </row>
    <row r="188" spans="1:3" x14ac:dyDescent="0.25">
      <c r="A188" s="1" t="s">
        <v>625</v>
      </c>
      <c r="B188" s="1" t="s">
        <v>626</v>
      </c>
      <c r="C188" s="1" t="s">
        <v>627</v>
      </c>
    </row>
    <row r="189" spans="1:3" x14ac:dyDescent="0.25">
      <c r="A189" s="1" t="s">
        <v>628</v>
      </c>
      <c r="B189" s="1" t="s">
        <v>388</v>
      </c>
      <c r="C189" s="1" t="s">
        <v>629</v>
      </c>
    </row>
    <row r="190" spans="1:3" x14ac:dyDescent="0.25">
      <c r="A190" s="1" t="s">
        <v>630</v>
      </c>
      <c r="B190" s="1" t="s">
        <v>631</v>
      </c>
      <c r="C190" s="1" t="s">
        <v>632</v>
      </c>
    </row>
    <row r="191" spans="1:3" x14ac:dyDescent="0.25">
      <c r="A191" s="1" t="s">
        <v>633</v>
      </c>
      <c r="B191" s="1" t="s">
        <v>634</v>
      </c>
      <c r="C191" s="1" t="s">
        <v>635</v>
      </c>
    </row>
    <row r="192" spans="1:3" x14ac:dyDescent="0.25">
      <c r="A192" s="1" t="s">
        <v>636</v>
      </c>
      <c r="B192" s="1" t="s">
        <v>637</v>
      </c>
      <c r="C192" s="1" t="s">
        <v>638</v>
      </c>
    </row>
    <row r="193" spans="1:3" x14ac:dyDescent="0.25">
      <c r="A193" s="1" t="s">
        <v>639</v>
      </c>
      <c r="B193" s="1" t="s">
        <v>640</v>
      </c>
      <c r="C193" s="1" t="s">
        <v>641</v>
      </c>
    </row>
    <row r="194" spans="1:3" x14ac:dyDescent="0.25">
      <c r="A194" s="1" t="s">
        <v>642</v>
      </c>
      <c r="B194" s="1" t="s">
        <v>643</v>
      </c>
      <c r="C194" s="1" t="s">
        <v>644</v>
      </c>
    </row>
    <row r="195" spans="1:3" x14ac:dyDescent="0.25">
      <c r="A195" s="1" t="s">
        <v>645</v>
      </c>
      <c r="B195" s="1" t="s">
        <v>646</v>
      </c>
      <c r="C195" s="1" t="s">
        <v>647</v>
      </c>
    </row>
    <row r="196" spans="1:3" x14ac:dyDescent="0.25">
      <c r="A196" s="1" t="s">
        <v>648</v>
      </c>
      <c r="B196" s="1" t="s">
        <v>649</v>
      </c>
      <c r="C196" s="1" t="s">
        <v>650</v>
      </c>
    </row>
    <row r="197" spans="1:3" x14ac:dyDescent="0.25">
      <c r="A197" s="1" t="s">
        <v>651</v>
      </c>
      <c r="B197" s="1" t="s">
        <v>652</v>
      </c>
      <c r="C197" s="1" t="s">
        <v>653</v>
      </c>
    </row>
    <row r="198" spans="1:3" x14ac:dyDescent="0.25">
      <c r="A198" s="1" t="s">
        <v>654</v>
      </c>
      <c r="B198" s="1" t="s">
        <v>655</v>
      </c>
      <c r="C198" s="1" t="s">
        <v>656</v>
      </c>
    </row>
    <row r="199" spans="1:3" x14ac:dyDescent="0.25">
      <c r="A199" s="1" t="s">
        <v>657</v>
      </c>
      <c r="B199" s="1" t="s">
        <v>658</v>
      </c>
      <c r="C199" s="1" t="s">
        <v>659</v>
      </c>
    </row>
    <row r="200" spans="1:3" x14ac:dyDescent="0.25">
      <c r="A200" s="1" t="s">
        <v>660</v>
      </c>
      <c r="B200" s="1" t="s">
        <v>661</v>
      </c>
      <c r="C200" s="1" t="s">
        <v>662</v>
      </c>
    </row>
    <row r="201" spans="1:3" x14ac:dyDescent="0.25">
      <c r="A201" s="1" t="s">
        <v>663</v>
      </c>
      <c r="B201" s="1" t="s">
        <v>664</v>
      </c>
      <c r="C201" s="1" t="s">
        <v>665</v>
      </c>
    </row>
    <row r="202" spans="1:3" x14ac:dyDescent="0.25">
      <c r="A202" s="1" t="s">
        <v>666</v>
      </c>
      <c r="B202" s="1" t="s">
        <v>667</v>
      </c>
      <c r="C202" s="1" t="s">
        <v>668</v>
      </c>
    </row>
    <row r="203" spans="1:3" x14ac:dyDescent="0.25">
      <c r="A203" s="1" t="s">
        <v>669</v>
      </c>
      <c r="B203" s="1" t="s">
        <v>670</v>
      </c>
      <c r="C203" s="1" t="s">
        <v>671</v>
      </c>
    </row>
    <row r="204" spans="1:3" x14ac:dyDescent="0.25">
      <c r="A204" s="1" t="s">
        <v>672</v>
      </c>
      <c r="B204" s="1" t="s">
        <v>673</v>
      </c>
      <c r="C204" s="1" t="s">
        <v>674</v>
      </c>
    </row>
    <row r="205" spans="1:3" x14ac:dyDescent="0.25">
      <c r="A205" s="1" t="s">
        <v>675</v>
      </c>
      <c r="B205" s="1" t="s">
        <v>676</v>
      </c>
      <c r="C205" s="1" t="s">
        <v>677</v>
      </c>
    </row>
    <row r="206" spans="1:3" x14ac:dyDescent="0.25">
      <c r="A206" s="1" t="s">
        <v>678</v>
      </c>
      <c r="B206" s="1" t="s">
        <v>679</v>
      </c>
      <c r="C206" s="1" t="s">
        <v>680</v>
      </c>
    </row>
    <row r="207" spans="1:3" x14ac:dyDescent="0.25">
      <c r="A207" s="1" t="s">
        <v>681</v>
      </c>
      <c r="B207" s="1" t="s">
        <v>682</v>
      </c>
      <c r="C207" s="1" t="s">
        <v>683</v>
      </c>
    </row>
    <row r="208" spans="1:3" x14ac:dyDescent="0.25">
      <c r="A208" s="1" t="s">
        <v>684</v>
      </c>
      <c r="B208" s="1" t="s">
        <v>685</v>
      </c>
      <c r="C208" s="1" t="s">
        <v>686</v>
      </c>
    </row>
    <row r="209" spans="1:3" x14ac:dyDescent="0.25">
      <c r="A209" s="1" t="s">
        <v>687</v>
      </c>
      <c r="B209" s="1" t="s">
        <v>688</v>
      </c>
      <c r="C209" s="1" t="s">
        <v>689</v>
      </c>
    </row>
    <row r="210" spans="1:3" x14ac:dyDescent="0.25">
      <c r="A210" s="1" t="s">
        <v>690</v>
      </c>
      <c r="B210" s="1" t="s">
        <v>691</v>
      </c>
      <c r="C210" s="1" t="s">
        <v>692</v>
      </c>
    </row>
    <row r="211" spans="1:3" x14ac:dyDescent="0.25">
      <c r="A211" s="1" t="s">
        <v>693</v>
      </c>
      <c r="B211" s="1" t="s">
        <v>694</v>
      </c>
      <c r="C211" s="1" t="s">
        <v>695</v>
      </c>
    </row>
    <row r="212" spans="1:3" x14ac:dyDescent="0.25">
      <c r="A212" s="1" t="s">
        <v>696</v>
      </c>
      <c r="B212" s="1" t="s">
        <v>697</v>
      </c>
      <c r="C212" s="1" t="s">
        <v>698</v>
      </c>
    </row>
    <row r="213" spans="1:3" x14ac:dyDescent="0.25">
      <c r="A213" s="1" t="s">
        <v>699</v>
      </c>
      <c r="B213" s="1" t="s">
        <v>700</v>
      </c>
      <c r="C213" s="1" t="s">
        <v>701</v>
      </c>
    </row>
    <row r="214" spans="1:3" x14ac:dyDescent="0.25">
      <c r="A214" s="1" t="s">
        <v>702</v>
      </c>
      <c r="B214" s="1" t="s">
        <v>703</v>
      </c>
      <c r="C214" s="1" t="s">
        <v>704</v>
      </c>
    </row>
    <row r="215" spans="1:3" x14ac:dyDescent="0.25">
      <c r="A215" s="1" t="s">
        <v>705</v>
      </c>
      <c r="B215" s="1" t="s">
        <v>452</v>
      </c>
      <c r="C215" s="1" t="s">
        <v>706</v>
      </c>
    </row>
    <row r="216" spans="1:3" x14ac:dyDescent="0.25">
      <c r="A216" s="1" t="s">
        <v>707</v>
      </c>
      <c r="B216" s="1" t="s">
        <v>703</v>
      </c>
      <c r="C216" s="1" t="s">
        <v>708</v>
      </c>
    </row>
    <row r="217" spans="1:3" x14ac:dyDescent="0.25">
      <c r="A217" s="1" t="s">
        <v>709</v>
      </c>
      <c r="B217" s="1" t="s">
        <v>710</v>
      </c>
      <c r="C217" s="1" t="s">
        <v>711</v>
      </c>
    </row>
    <row r="218" spans="1:3" x14ac:dyDescent="0.25">
      <c r="A218" s="1" t="s">
        <v>712</v>
      </c>
      <c r="B218" s="1" t="s">
        <v>393</v>
      </c>
      <c r="C218" s="1" t="s">
        <v>713</v>
      </c>
    </row>
    <row r="219" spans="1:3" x14ac:dyDescent="0.25">
      <c r="A219" s="1" t="s">
        <v>714</v>
      </c>
      <c r="B219" s="1" t="s">
        <v>715</v>
      </c>
      <c r="C219" s="1" t="s">
        <v>716</v>
      </c>
    </row>
    <row r="220" spans="1:3" x14ac:dyDescent="0.25">
      <c r="A220" s="1" t="s">
        <v>717</v>
      </c>
      <c r="B220" s="1" t="s">
        <v>718</v>
      </c>
      <c r="C220" s="1" t="s">
        <v>719</v>
      </c>
    </row>
    <row r="221" spans="1:3" x14ac:dyDescent="0.25">
      <c r="A221" s="1" t="s">
        <v>720</v>
      </c>
      <c r="B221" s="1" t="s">
        <v>721</v>
      </c>
      <c r="C221" s="1" t="s">
        <v>722</v>
      </c>
    </row>
    <row r="222" spans="1:3" x14ac:dyDescent="0.25">
      <c r="A222" s="1" t="s">
        <v>723</v>
      </c>
      <c r="B222" s="1" t="s">
        <v>724</v>
      </c>
      <c r="C222" s="1" t="s">
        <v>725</v>
      </c>
    </row>
    <row r="223" spans="1:3" x14ac:dyDescent="0.25">
      <c r="A223" s="3"/>
      <c r="B223" s="3"/>
      <c r="C223" s="3"/>
    </row>
    <row r="225" spans="1:13" ht="18.75" x14ac:dyDescent="0.25">
      <c r="A225" s="46" t="s">
        <v>726</v>
      </c>
      <c r="B225" s="46"/>
      <c r="C225" s="46"/>
      <c r="D225" s="46"/>
      <c r="E225" s="46"/>
      <c r="F225" s="46"/>
      <c r="G225" s="46"/>
      <c r="H225" s="46"/>
      <c r="I225" s="46"/>
      <c r="J225" s="46"/>
      <c r="K225" s="46"/>
      <c r="L225" s="46"/>
      <c r="M225" s="46"/>
    </row>
    <row r="226" spans="1:13" ht="87" customHeight="1" x14ac:dyDescent="0.25">
      <c r="A226" s="45" t="s">
        <v>727</v>
      </c>
      <c r="B226" s="45"/>
      <c r="C226" s="45"/>
      <c r="D226" s="45"/>
      <c r="E226" s="45"/>
      <c r="F226" s="45"/>
      <c r="G226" s="45"/>
      <c r="H226" s="45"/>
      <c r="I226" s="45"/>
      <c r="J226" s="45"/>
      <c r="K226" s="45"/>
      <c r="L226" s="45"/>
      <c r="M226" s="45"/>
    </row>
    <row r="227" spans="1:13" x14ac:dyDescent="0.25">
      <c r="A227" s="1" t="s">
        <v>728</v>
      </c>
      <c r="B227" s="1" t="s">
        <v>729</v>
      </c>
      <c r="C227" s="1" t="s">
        <v>730</v>
      </c>
    </row>
    <row r="228" spans="1:13" x14ac:dyDescent="0.25">
      <c r="A228" s="1" t="s">
        <v>731</v>
      </c>
      <c r="B228" s="1" t="s">
        <v>732</v>
      </c>
      <c r="C228" s="1" t="s">
        <v>733</v>
      </c>
    </row>
    <row r="229" spans="1:13" x14ac:dyDescent="0.25">
      <c r="A229" s="1" t="s">
        <v>734</v>
      </c>
      <c r="B229" s="1" t="s">
        <v>735</v>
      </c>
      <c r="C229" s="1" t="s">
        <v>736</v>
      </c>
    </row>
    <row r="230" spans="1:13" x14ac:dyDescent="0.25">
      <c r="A230" s="1" t="s">
        <v>737</v>
      </c>
      <c r="B230" s="1" t="s">
        <v>732</v>
      </c>
      <c r="C230" s="1" t="s">
        <v>738</v>
      </c>
    </row>
    <row r="231" spans="1:13" x14ac:dyDescent="0.25">
      <c r="A231" s="1" t="s">
        <v>739</v>
      </c>
      <c r="B231" s="1" t="s">
        <v>740</v>
      </c>
      <c r="C231" s="1" t="s">
        <v>741</v>
      </c>
    </row>
    <row r="232" spans="1:13" x14ac:dyDescent="0.25">
      <c r="A232" s="1" t="s">
        <v>742</v>
      </c>
      <c r="B232" s="1" t="s">
        <v>743</v>
      </c>
      <c r="C232" s="1" t="s">
        <v>744</v>
      </c>
    </row>
    <row r="233" spans="1:13" x14ac:dyDescent="0.25">
      <c r="A233" s="1" t="s">
        <v>745</v>
      </c>
      <c r="B233" s="1" t="s">
        <v>746</v>
      </c>
      <c r="C233" s="1" t="s">
        <v>747</v>
      </c>
    </row>
    <row r="234" spans="1:13" x14ac:dyDescent="0.25">
      <c r="A234" s="1" t="s">
        <v>748</v>
      </c>
      <c r="B234" s="1" t="s">
        <v>749</v>
      </c>
      <c r="C234" s="1" t="s">
        <v>750</v>
      </c>
    </row>
    <row r="235" spans="1:13" x14ac:dyDescent="0.25">
      <c r="A235" s="1" t="s">
        <v>751</v>
      </c>
      <c r="B235" s="1" t="s">
        <v>743</v>
      </c>
      <c r="C235" s="1" t="s">
        <v>752</v>
      </c>
    </row>
    <row r="236" spans="1:13" x14ac:dyDescent="0.25">
      <c r="A236" s="1" t="s">
        <v>753</v>
      </c>
      <c r="B236" s="1" t="s">
        <v>749</v>
      </c>
      <c r="C236" s="1" t="s">
        <v>754</v>
      </c>
    </row>
    <row r="237" spans="1:13" x14ac:dyDescent="0.25">
      <c r="A237" s="1" t="s">
        <v>755</v>
      </c>
      <c r="B237" s="1" t="s">
        <v>756</v>
      </c>
      <c r="C237" s="1" t="s">
        <v>757</v>
      </c>
    </row>
    <row r="238" spans="1:13" x14ac:dyDescent="0.25">
      <c r="A238" s="1" t="s">
        <v>758</v>
      </c>
      <c r="B238" s="1" t="s">
        <v>749</v>
      </c>
      <c r="C238" s="1" t="s">
        <v>759</v>
      </c>
    </row>
    <row r="239" spans="1:13" x14ac:dyDescent="0.25">
      <c r="A239" s="1" t="s">
        <v>760</v>
      </c>
      <c r="B239" s="1" t="s">
        <v>743</v>
      </c>
      <c r="C239" s="1" t="s">
        <v>761</v>
      </c>
    </row>
    <row r="240" spans="1:13" x14ac:dyDescent="0.25">
      <c r="A240" s="1" t="s">
        <v>762</v>
      </c>
      <c r="B240" s="1" t="s">
        <v>763</v>
      </c>
      <c r="C240" s="1" t="s">
        <v>764</v>
      </c>
    </row>
    <row r="241" spans="1:3" x14ac:dyDescent="0.25">
      <c r="A241" s="1" t="s">
        <v>765</v>
      </c>
      <c r="B241" s="1" t="s">
        <v>766</v>
      </c>
      <c r="C241" s="1" t="s">
        <v>767</v>
      </c>
    </row>
    <row r="242" spans="1:3" x14ac:dyDescent="0.25">
      <c r="A242" s="1" t="s">
        <v>768</v>
      </c>
      <c r="B242" s="1" t="s">
        <v>769</v>
      </c>
      <c r="C242" s="1" t="s">
        <v>770</v>
      </c>
    </row>
    <row r="243" spans="1:3" x14ac:dyDescent="0.25">
      <c r="A243" s="1" t="s">
        <v>771</v>
      </c>
      <c r="B243" s="1" t="s">
        <v>766</v>
      </c>
      <c r="C243" s="1" t="s">
        <v>767</v>
      </c>
    </row>
    <row r="244" spans="1:3" x14ac:dyDescent="0.25">
      <c r="A244" s="1" t="s">
        <v>772</v>
      </c>
      <c r="B244" s="1" t="s">
        <v>773</v>
      </c>
      <c r="C244" s="1" t="s">
        <v>774</v>
      </c>
    </row>
    <row r="245" spans="1:3" x14ac:dyDescent="0.25">
      <c r="A245" s="1" t="s">
        <v>775</v>
      </c>
      <c r="B245" s="1" t="s">
        <v>776</v>
      </c>
      <c r="C245" s="1" t="s">
        <v>777</v>
      </c>
    </row>
    <row r="246" spans="1:3" x14ac:dyDescent="0.25">
      <c r="A246" s="1" t="s">
        <v>778</v>
      </c>
      <c r="B246" s="1" t="s">
        <v>779</v>
      </c>
      <c r="C246" s="1" t="s">
        <v>780</v>
      </c>
    </row>
    <row r="247" spans="1:3" x14ac:dyDescent="0.25">
      <c r="A247" s="1" t="s">
        <v>781</v>
      </c>
      <c r="B247" s="1" t="s">
        <v>782</v>
      </c>
      <c r="C247" s="1" t="s">
        <v>783</v>
      </c>
    </row>
    <row r="248" spans="1:3" x14ac:dyDescent="0.25">
      <c r="A248" s="1" t="s">
        <v>784</v>
      </c>
      <c r="B248" s="1" t="s">
        <v>749</v>
      </c>
      <c r="C248" s="1" t="s">
        <v>785</v>
      </c>
    </row>
    <row r="249" spans="1:3" x14ac:dyDescent="0.25">
      <c r="A249" s="1" t="s">
        <v>786</v>
      </c>
      <c r="B249" s="1" t="s">
        <v>773</v>
      </c>
      <c r="C249" s="1" t="s">
        <v>787</v>
      </c>
    </row>
    <row r="250" spans="1:3" x14ac:dyDescent="0.25">
      <c r="A250" s="1" t="s">
        <v>788</v>
      </c>
      <c r="B250" s="1" t="s">
        <v>789</v>
      </c>
      <c r="C250" s="1" t="s">
        <v>790</v>
      </c>
    </row>
    <row r="251" spans="1:3" x14ac:dyDescent="0.25">
      <c r="A251" s="1" t="s">
        <v>791</v>
      </c>
      <c r="B251" s="1" t="s">
        <v>792</v>
      </c>
      <c r="C251" s="1" t="s">
        <v>793</v>
      </c>
    </row>
    <row r="252" spans="1:3" x14ac:dyDescent="0.25">
      <c r="A252" s="1" t="s">
        <v>794</v>
      </c>
      <c r="B252" s="1" t="s">
        <v>795</v>
      </c>
      <c r="C252" s="1" t="s">
        <v>796</v>
      </c>
    </row>
    <row r="253" spans="1:3" x14ac:dyDescent="0.25">
      <c r="A253" s="1" t="s">
        <v>797</v>
      </c>
      <c r="B253" s="1" t="s">
        <v>798</v>
      </c>
      <c r="C253" s="1" t="s">
        <v>799</v>
      </c>
    </row>
    <row r="254" spans="1:3" x14ac:dyDescent="0.25">
      <c r="A254" s="1" t="s">
        <v>800</v>
      </c>
      <c r="B254" s="1" t="s">
        <v>801</v>
      </c>
      <c r="C254" s="1" t="s">
        <v>802</v>
      </c>
    </row>
    <row r="255" spans="1:3" x14ac:dyDescent="0.25">
      <c r="A255" s="1" t="s">
        <v>803</v>
      </c>
      <c r="B255" s="1" t="s">
        <v>804</v>
      </c>
      <c r="C255" s="1" t="s">
        <v>805</v>
      </c>
    </row>
    <row r="256" spans="1:3" x14ac:dyDescent="0.25">
      <c r="A256" s="1" t="s">
        <v>806</v>
      </c>
      <c r="B256" s="1" t="s">
        <v>807</v>
      </c>
      <c r="C256" s="1" t="s">
        <v>808</v>
      </c>
    </row>
    <row r="257" spans="1:3" x14ac:dyDescent="0.25">
      <c r="A257" s="1" t="s">
        <v>809</v>
      </c>
      <c r="B257" s="1" t="s">
        <v>810</v>
      </c>
      <c r="C257" s="1" t="s">
        <v>811</v>
      </c>
    </row>
    <row r="258" spans="1:3" x14ac:dyDescent="0.25">
      <c r="A258" s="1" t="s">
        <v>812</v>
      </c>
      <c r="B258" s="1" t="s">
        <v>813</v>
      </c>
      <c r="C258" s="1" t="s">
        <v>814</v>
      </c>
    </row>
    <row r="259" spans="1:3" x14ac:dyDescent="0.25">
      <c r="A259" s="1" t="s">
        <v>815</v>
      </c>
      <c r="B259" s="1" t="s">
        <v>816</v>
      </c>
      <c r="C259" s="1" t="s">
        <v>817</v>
      </c>
    </row>
    <row r="260" spans="1:3" x14ac:dyDescent="0.25">
      <c r="A260" s="1" t="s">
        <v>818</v>
      </c>
      <c r="B260" s="1" t="s">
        <v>801</v>
      </c>
      <c r="C260" s="1" t="s">
        <v>819</v>
      </c>
    </row>
    <row r="261" spans="1:3" x14ac:dyDescent="0.25">
      <c r="A261" s="1" t="s">
        <v>820</v>
      </c>
      <c r="B261" s="1" t="s">
        <v>821</v>
      </c>
      <c r="C261" s="1" t="s">
        <v>822</v>
      </c>
    </row>
    <row r="262" spans="1:3" x14ac:dyDescent="0.25">
      <c r="A262" s="1" t="s">
        <v>823</v>
      </c>
      <c r="B262" s="1" t="s">
        <v>824</v>
      </c>
      <c r="C262" s="1" t="s">
        <v>825</v>
      </c>
    </row>
    <row r="263" spans="1:3" x14ac:dyDescent="0.25">
      <c r="A263" s="1" t="s">
        <v>826</v>
      </c>
      <c r="B263" s="1" t="s">
        <v>827</v>
      </c>
      <c r="C263" s="1" t="s">
        <v>828</v>
      </c>
    </row>
    <row r="264" spans="1:3" x14ac:dyDescent="0.25">
      <c r="A264" s="1" t="s">
        <v>829</v>
      </c>
      <c r="B264" s="1" t="s">
        <v>795</v>
      </c>
      <c r="C264" s="1" t="s">
        <v>830</v>
      </c>
    </row>
    <row r="265" spans="1:3" x14ac:dyDescent="0.25">
      <c r="A265" s="1" t="s">
        <v>831</v>
      </c>
      <c r="B265" s="1" t="s">
        <v>832</v>
      </c>
      <c r="C265" s="1" t="s">
        <v>833</v>
      </c>
    </row>
    <row r="266" spans="1:3" x14ac:dyDescent="0.25">
      <c r="A266" s="1" t="s">
        <v>834</v>
      </c>
      <c r="B266" s="1" t="s">
        <v>816</v>
      </c>
      <c r="C266" s="1" t="s">
        <v>835</v>
      </c>
    </row>
    <row r="267" spans="1:3" x14ac:dyDescent="0.25">
      <c r="A267" s="1" t="s">
        <v>836</v>
      </c>
      <c r="B267" s="1" t="s">
        <v>795</v>
      </c>
      <c r="C267" s="1" t="s">
        <v>837</v>
      </c>
    </row>
    <row r="268" spans="1:3" x14ac:dyDescent="0.25">
      <c r="A268" s="1" t="s">
        <v>838</v>
      </c>
      <c r="B268" s="1" t="s">
        <v>816</v>
      </c>
      <c r="C268" s="1" t="s">
        <v>839</v>
      </c>
    </row>
    <row r="269" spans="1:3" x14ac:dyDescent="0.25">
      <c r="A269" s="1" t="s">
        <v>840</v>
      </c>
      <c r="B269" s="1" t="s">
        <v>795</v>
      </c>
      <c r="C269" s="1" t="s">
        <v>841</v>
      </c>
    </row>
    <row r="270" spans="1:3" x14ac:dyDescent="0.25">
      <c r="A270" s="1" t="s">
        <v>842</v>
      </c>
      <c r="B270" s="1" t="s">
        <v>827</v>
      </c>
      <c r="C270" s="1" t="s">
        <v>843</v>
      </c>
    </row>
    <row r="271" spans="1:3" x14ac:dyDescent="0.25">
      <c r="A271" s="1" t="s">
        <v>844</v>
      </c>
      <c r="B271" s="1" t="s">
        <v>845</v>
      </c>
      <c r="C271" s="1" t="s">
        <v>846</v>
      </c>
    </row>
    <row r="272" spans="1:3" x14ac:dyDescent="0.25">
      <c r="A272" s="1" t="s">
        <v>847</v>
      </c>
      <c r="B272" s="1" t="s">
        <v>827</v>
      </c>
      <c r="C272" s="1" t="s">
        <v>848</v>
      </c>
    </row>
    <row r="273" spans="1:3" x14ac:dyDescent="0.25">
      <c r="A273" s="1" t="s">
        <v>849</v>
      </c>
      <c r="B273" s="1" t="s">
        <v>850</v>
      </c>
      <c r="C273" s="1" t="s">
        <v>851</v>
      </c>
    </row>
    <row r="274" spans="1:3" x14ac:dyDescent="0.25">
      <c r="A274" s="1" t="s">
        <v>852</v>
      </c>
      <c r="B274" s="1" t="s">
        <v>853</v>
      </c>
      <c r="C274" s="1" t="s">
        <v>854</v>
      </c>
    </row>
    <row r="275" spans="1:3" x14ac:dyDescent="0.25">
      <c r="A275" s="1" t="s">
        <v>855</v>
      </c>
      <c r="B275" s="1" t="s">
        <v>856</v>
      </c>
      <c r="C275" s="1" t="s">
        <v>857</v>
      </c>
    </row>
    <row r="276" spans="1:3" x14ac:dyDescent="0.25">
      <c r="A276" s="1" t="s">
        <v>858</v>
      </c>
      <c r="B276" s="1" t="s">
        <v>827</v>
      </c>
      <c r="C276" s="1" t="s">
        <v>859</v>
      </c>
    </row>
    <row r="277" spans="1:3" x14ac:dyDescent="0.25">
      <c r="A277" s="1" t="s">
        <v>860</v>
      </c>
      <c r="B277" s="1" t="s">
        <v>861</v>
      </c>
      <c r="C277" s="1" t="s">
        <v>862</v>
      </c>
    </row>
    <row r="278" spans="1:3" x14ac:dyDescent="0.25">
      <c r="A278" s="1" t="s">
        <v>863</v>
      </c>
      <c r="B278" s="1" t="s">
        <v>864</v>
      </c>
      <c r="C278" s="1" t="s">
        <v>865</v>
      </c>
    </row>
    <row r="279" spans="1:3" x14ac:dyDescent="0.25">
      <c r="A279" s="1" t="s">
        <v>866</v>
      </c>
      <c r="B279" s="1" t="s">
        <v>867</v>
      </c>
      <c r="C279" s="1" t="s">
        <v>868</v>
      </c>
    </row>
    <row r="280" spans="1:3" x14ac:dyDescent="0.25">
      <c r="A280" s="1" t="s">
        <v>869</v>
      </c>
      <c r="B280" s="1" t="s">
        <v>870</v>
      </c>
      <c r="C280" s="1" t="s">
        <v>871</v>
      </c>
    </row>
    <row r="281" spans="1:3" x14ac:dyDescent="0.25">
      <c r="A281" s="1" t="s">
        <v>872</v>
      </c>
      <c r="B281" s="1" t="s">
        <v>873</v>
      </c>
      <c r="C281" s="1" t="s">
        <v>874</v>
      </c>
    </row>
    <row r="282" spans="1:3" x14ac:dyDescent="0.25">
      <c r="A282" s="1" t="s">
        <v>875</v>
      </c>
      <c r="B282" s="1" t="s">
        <v>876</v>
      </c>
      <c r="C282" s="1" t="s">
        <v>877</v>
      </c>
    </row>
    <row r="283" spans="1:3" x14ac:dyDescent="0.25">
      <c r="A283" s="1" t="s">
        <v>878</v>
      </c>
      <c r="B283" s="1" t="s">
        <v>879</v>
      </c>
      <c r="C283" s="1" t="s">
        <v>880</v>
      </c>
    </row>
    <row r="284" spans="1:3" x14ac:dyDescent="0.25">
      <c r="A284" s="1" t="s">
        <v>881</v>
      </c>
      <c r="B284" s="1" t="s">
        <v>882</v>
      </c>
      <c r="C284" s="1" t="s">
        <v>883</v>
      </c>
    </row>
    <row r="285" spans="1:3" x14ac:dyDescent="0.25">
      <c r="A285" s="1" t="s">
        <v>884</v>
      </c>
      <c r="B285" s="1" t="s">
        <v>885</v>
      </c>
      <c r="C285" s="1" t="s">
        <v>886</v>
      </c>
    </row>
    <row r="286" spans="1:3" x14ac:dyDescent="0.25">
      <c r="A286" s="1" t="s">
        <v>887</v>
      </c>
      <c r="B286" s="1" t="s">
        <v>888</v>
      </c>
      <c r="C286" s="1" t="s">
        <v>889</v>
      </c>
    </row>
    <row r="287" spans="1:3" x14ac:dyDescent="0.25">
      <c r="A287" s="1" t="s">
        <v>890</v>
      </c>
      <c r="B287" s="1" t="s">
        <v>891</v>
      </c>
      <c r="C287" s="1" t="s">
        <v>892</v>
      </c>
    </row>
    <row r="288" spans="1:3" x14ac:dyDescent="0.25">
      <c r="A288" s="1" t="s">
        <v>893</v>
      </c>
      <c r="B288" s="1" t="s">
        <v>894</v>
      </c>
      <c r="C288" s="1" t="s">
        <v>895</v>
      </c>
    </row>
    <row r="289" spans="1:3" x14ac:dyDescent="0.25">
      <c r="A289" s="1" t="s">
        <v>896</v>
      </c>
      <c r="B289" s="1" t="s">
        <v>897</v>
      </c>
      <c r="C289" s="1" t="s">
        <v>898</v>
      </c>
    </row>
    <row r="290" spans="1:3" x14ac:dyDescent="0.25">
      <c r="A290" s="1" t="s">
        <v>899</v>
      </c>
      <c r="B290" s="1" t="s">
        <v>900</v>
      </c>
      <c r="C290" s="1" t="s">
        <v>901</v>
      </c>
    </row>
    <row r="291" spans="1:3" x14ac:dyDescent="0.25">
      <c r="A291" s="1" t="s">
        <v>902</v>
      </c>
      <c r="B291" s="1" t="s">
        <v>903</v>
      </c>
      <c r="C291" s="1" t="s">
        <v>904</v>
      </c>
    </row>
    <row r="292" spans="1:3" x14ac:dyDescent="0.25">
      <c r="A292" s="1" t="s">
        <v>905</v>
      </c>
      <c r="B292" s="1" t="s">
        <v>906</v>
      </c>
      <c r="C292" s="1" t="s">
        <v>907</v>
      </c>
    </row>
    <row r="293" spans="1:3" x14ac:dyDescent="0.25">
      <c r="A293" s="1" t="s">
        <v>908</v>
      </c>
      <c r="B293" s="1" t="s">
        <v>909</v>
      </c>
      <c r="C293" s="1" t="s">
        <v>910</v>
      </c>
    </row>
    <row r="294" spans="1:3" x14ac:dyDescent="0.25">
      <c r="A294" s="1" t="s">
        <v>911</v>
      </c>
      <c r="B294" s="1" t="s">
        <v>912</v>
      </c>
      <c r="C294" s="1" t="s">
        <v>913</v>
      </c>
    </row>
    <row r="295" spans="1:3" x14ac:dyDescent="0.25">
      <c r="A295" s="1" t="s">
        <v>914</v>
      </c>
      <c r="B295" s="1" t="s">
        <v>915</v>
      </c>
      <c r="C295" s="1" t="s">
        <v>916</v>
      </c>
    </row>
    <row r="296" spans="1:3" x14ac:dyDescent="0.25">
      <c r="A296" s="1" t="s">
        <v>917</v>
      </c>
      <c r="B296" s="1" t="s">
        <v>918</v>
      </c>
      <c r="C296" s="1" t="s">
        <v>919</v>
      </c>
    </row>
    <row r="297" spans="1:3" x14ac:dyDescent="0.25">
      <c r="A297" s="1" t="s">
        <v>920</v>
      </c>
      <c r="B297" s="1" t="s">
        <v>921</v>
      </c>
      <c r="C297" s="1" t="s">
        <v>922</v>
      </c>
    </row>
    <row r="298" spans="1:3" x14ac:dyDescent="0.25">
      <c r="A298" s="1" t="s">
        <v>923</v>
      </c>
      <c r="B298" s="1" t="s">
        <v>813</v>
      </c>
      <c r="C298" s="1" t="s">
        <v>924</v>
      </c>
    </row>
    <row r="299" spans="1:3" x14ac:dyDescent="0.25">
      <c r="A299" s="1" t="s">
        <v>925</v>
      </c>
      <c r="B299" s="1" t="s">
        <v>921</v>
      </c>
      <c r="C299" s="1" t="s">
        <v>926</v>
      </c>
    </row>
    <row r="300" spans="1:3" x14ac:dyDescent="0.25">
      <c r="A300" s="1" t="s">
        <v>927</v>
      </c>
      <c r="B300" s="1" t="s">
        <v>918</v>
      </c>
      <c r="C300" s="1" t="s">
        <v>919</v>
      </c>
    </row>
    <row r="301" spans="1:3" x14ac:dyDescent="0.25">
      <c r="A301" s="1" t="s">
        <v>928</v>
      </c>
      <c r="B301" s="1" t="s">
        <v>929</v>
      </c>
      <c r="C301" s="1" t="s">
        <v>930</v>
      </c>
    </row>
    <row r="302" spans="1:3" x14ac:dyDescent="0.25">
      <c r="A302" s="1" t="s">
        <v>931</v>
      </c>
      <c r="B302" s="1" t="s">
        <v>932</v>
      </c>
      <c r="C302" s="1" t="s">
        <v>933</v>
      </c>
    </row>
    <row r="303" spans="1:3" x14ac:dyDescent="0.25">
      <c r="A303" s="1" t="s">
        <v>934</v>
      </c>
      <c r="B303" s="1" t="s">
        <v>935</v>
      </c>
      <c r="C303" s="1" t="s">
        <v>936</v>
      </c>
    </row>
    <row r="304" spans="1:3" x14ac:dyDescent="0.25">
      <c r="A304" s="1" t="s">
        <v>937</v>
      </c>
      <c r="B304" s="1" t="s">
        <v>938</v>
      </c>
      <c r="C304" s="1" t="s">
        <v>939</v>
      </c>
    </row>
    <row r="305" spans="1:3" x14ac:dyDescent="0.25">
      <c r="A305" s="1" t="s">
        <v>940</v>
      </c>
      <c r="B305" s="1" t="s">
        <v>941</v>
      </c>
      <c r="C305" s="1" t="s">
        <v>942</v>
      </c>
    </row>
    <row r="306" spans="1:3" x14ac:dyDescent="0.25">
      <c r="A306" s="1" t="s">
        <v>943</v>
      </c>
      <c r="B306" s="1" t="s">
        <v>944</v>
      </c>
      <c r="C306" s="1" t="s">
        <v>945</v>
      </c>
    </row>
    <row r="307" spans="1:3" x14ac:dyDescent="0.25">
      <c r="A307" s="1" t="s">
        <v>946</v>
      </c>
      <c r="B307" s="1" t="s">
        <v>938</v>
      </c>
      <c r="C307" s="1" t="s">
        <v>939</v>
      </c>
    </row>
    <row r="308" spans="1:3" x14ac:dyDescent="0.25">
      <c r="A308" s="1" t="s">
        <v>947</v>
      </c>
      <c r="B308" s="1" t="s">
        <v>948</v>
      </c>
      <c r="C308" s="1" t="s">
        <v>949</v>
      </c>
    </row>
    <row r="309" spans="1:3" x14ac:dyDescent="0.25">
      <c r="A309" s="1" t="s">
        <v>950</v>
      </c>
      <c r="B309" s="1" t="s">
        <v>944</v>
      </c>
      <c r="C309" s="1" t="s">
        <v>951</v>
      </c>
    </row>
    <row r="310" spans="1:3" x14ac:dyDescent="0.25">
      <c r="A310" s="1" t="s">
        <v>952</v>
      </c>
      <c r="B310" s="1" t="s">
        <v>953</v>
      </c>
      <c r="C310" s="1" t="s">
        <v>954</v>
      </c>
    </row>
    <row r="311" spans="1:3" x14ac:dyDescent="0.25">
      <c r="A311" s="1" t="s">
        <v>955</v>
      </c>
      <c r="B311" s="1" t="s">
        <v>956</v>
      </c>
      <c r="C311" s="1" t="s">
        <v>957</v>
      </c>
    </row>
    <row r="312" spans="1:3" x14ac:dyDescent="0.25">
      <c r="A312" s="1" t="s">
        <v>958</v>
      </c>
      <c r="B312" s="1" t="s">
        <v>959</v>
      </c>
      <c r="C312" s="1" t="s">
        <v>960</v>
      </c>
    </row>
    <row r="313" spans="1:3" x14ac:dyDescent="0.25">
      <c r="A313" s="1" t="s">
        <v>961</v>
      </c>
      <c r="B313" s="1" t="s">
        <v>962</v>
      </c>
      <c r="C313" s="1" t="s">
        <v>963</v>
      </c>
    </row>
    <row r="314" spans="1:3" x14ac:dyDescent="0.25">
      <c r="A314" s="1" t="s">
        <v>964</v>
      </c>
      <c r="B314" s="1" t="s">
        <v>944</v>
      </c>
      <c r="C314" s="1" t="s">
        <v>965</v>
      </c>
    </row>
    <row r="315" spans="1:3" x14ac:dyDescent="0.25">
      <c r="A315" s="1" t="s">
        <v>966</v>
      </c>
      <c r="B315" s="1" t="s">
        <v>967</v>
      </c>
      <c r="C315" s="1" t="s">
        <v>968</v>
      </c>
    </row>
    <row r="316" spans="1:3" x14ac:dyDescent="0.25">
      <c r="A316" s="1" t="s">
        <v>969</v>
      </c>
      <c r="B316" s="1" t="s">
        <v>956</v>
      </c>
      <c r="C316" s="1" t="s">
        <v>970</v>
      </c>
    </row>
    <row r="317" spans="1:3" x14ac:dyDescent="0.25">
      <c r="A317" s="1" t="s">
        <v>971</v>
      </c>
      <c r="B317" s="1" t="s">
        <v>972</v>
      </c>
      <c r="C317" s="1" t="s">
        <v>973</v>
      </c>
    </row>
    <row r="318" spans="1:3" x14ac:dyDescent="0.25">
      <c r="A318" s="1" t="s">
        <v>974</v>
      </c>
      <c r="B318" s="1" t="s">
        <v>975</v>
      </c>
      <c r="C318" s="1" t="s">
        <v>976</v>
      </c>
    </row>
    <row r="319" spans="1:3" x14ac:dyDescent="0.25">
      <c r="A319" s="1" t="s">
        <v>977</v>
      </c>
      <c r="B319" s="1" t="s">
        <v>978</v>
      </c>
      <c r="C319" s="1" t="s">
        <v>979</v>
      </c>
    </row>
    <row r="320" spans="1:3" x14ac:dyDescent="0.25">
      <c r="A320" s="1" t="s">
        <v>980</v>
      </c>
      <c r="B320" s="1" t="s">
        <v>956</v>
      </c>
      <c r="C320" s="1" t="s">
        <v>981</v>
      </c>
    </row>
    <row r="321" spans="1:3" x14ac:dyDescent="0.25">
      <c r="A321" s="1" t="s">
        <v>982</v>
      </c>
      <c r="B321" s="1" t="s">
        <v>978</v>
      </c>
      <c r="C321" s="1" t="s">
        <v>979</v>
      </c>
    </row>
    <row r="322" spans="1:3" x14ac:dyDescent="0.25">
      <c r="A322" s="1" t="s">
        <v>983</v>
      </c>
      <c r="B322" s="1" t="s">
        <v>984</v>
      </c>
      <c r="C322" s="1" t="s">
        <v>985</v>
      </c>
    </row>
    <row r="323" spans="1:3" x14ac:dyDescent="0.25">
      <c r="A323" s="1" t="s">
        <v>986</v>
      </c>
      <c r="B323" s="1" t="s">
        <v>987</v>
      </c>
      <c r="C323" s="1" t="s">
        <v>988</v>
      </c>
    </row>
    <row r="324" spans="1:3" x14ac:dyDescent="0.25">
      <c r="A324" s="1" t="s">
        <v>989</v>
      </c>
      <c r="B324" s="1" t="s">
        <v>990</v>
      </c>
      <c r="C324" s="1" t="s">
        <v>991</v>
      </c>
    </row>
    <row r="325" spans="1:3" x14ac:dyDescent="0.25">
      <c r="A325" s="1" t="s">
        <v>992</v>
      </c>
      <c r="B325" s="1" t="s">
        <v>993</v>
      </c>
      <c r="C325" s="1" t="s">
        <v>994</v>
      </c>
    </row>
    <row r="326" spans="1:3" x14ac:dyDescent="0.25">
      <c r="A326" s="1" t="s">
        <v>995</v>
      </c>
      <c r="B326" s="1" t="s">
        <v>996</v>
      </c>
      <c r="C326" s="1" t="s">
        <v>997</v>
      </c>
    </row>
    <row r="327" spans="1:3" x14ac:dyDescent="0.25">
      <c r="A327" s="1" t="s">
        <v>998</v>
      </c>
      <c r="B327" s="1" t="s">
        <v>999</v>
      </c>
      <c r="C327" s="1" t="s">
        <v>1000</v>
      </c>
    </row>
    <row r="328" spans="1:3" x14ac:dyDescent="0.25">
      <c r="A328" s="1" t="s">
        <v>1001</v>
      </c>
      <c r="B328" s="1" t="s">
        <v>1002</v>
      </c>
      <c r="C328" s="1" t="s">
        <v>1003</v>
      </c>
    </row>
    <row r="329" spans="1:3" x14ac:dyDescent="0.25">
      <c r="A329" s="1" t="s">
        <v>1004</v>
      </c>
      <c r="B329" s="1" t="s">
        <v>1005</v>
      </c>
      <c r="C329" s="1" t="s">
        <v>1006</v>
      </c>
    </row>
    <row r="330" spans="1:3" x14ac:dyDescent="0.25">
      <c r="A330" s="1" t="s">
        <v>1007</v>
      </c>
      <c r="B330" s="1" t="s">
        <v>1008</v>
      </c>
      <c r="C330" s="1" t="s">
        <v>1009</v>
      </c>
    </row>
    <row r="331" spans="1:3" x14ac:dyDescent="0.25">
      <c r="A331" s="1" t="s">
        <v>1010</v>
      </c>
      <c r="B331" s="1" t="s">
        <v>1011</v>
      </c>
      <c r="C331" s="1" t="s">
        <v>1012</v>
      </c>
    </row>
    <row r="332" spans="1:3" x14ac:dyDescent="0.25">
      <c r="A332" s="1" t="s">
        <v>1013</v>
      </c>
      <c r="B332" s="1" t="s">
        <v>1014</v>
      </c>
      <c r="C332" s="1" t="s">
        <v>1015</v>
      </c>
    </row>
    <row r="333" spans="1:3" x14ac:dyDescent="0.25">
      <c r="A333" s="1" t="s">
        <v>1016</v>
      </c>
      <c r="B333" s="1" t="s">
        <v>1017</v>
      </c>
      <c r="C333" s="1" t="s">
        <v>1018</v>
      </c>
    </row>
    <row r="334" spans="1:3" x14ac:dyDescent="0.25">
      <c r="A334" s="1" t="s">
        <v>1019</v>
      </c>
      <c r="B334" s="1" t="s">
        <v>1020</v>
      </c>
      <c r="C334" s="1" t="s">
        <v>1021</v>
      </c>
    </row>
    <row r="335" spans="1:3" x14ac:dyDescent="0.25">
      <c r="A335" s="1" t="s">
        <v>1022</v>
      </c>
      <c r="B335" s="1" t="s">
        <v>1008</v>
      </c>
      <c r="C335" s="1" t="s">
        <v>1009</v>
      </c>
    </row>
    <row r="336" spans="1:3" x14ac:dyDescent="0.25">
      <c r="A336" s="1" t="s">
        <v>1023</v>
      </c>
      <c r="B336" s="1" t="s">
        <v>1024</v>
      </c>
      <c r="C336" s="1" t="s">
        <v>1025</v>
      </c>
    </row>
    <row r="337" spans="1:3" x14ac:dyDescent="0.25">
      <c r="A337" s="1" t="s">
        <v>1026</v>
      </c>
      <c r="B337" s="1" t="s">
        <v>999</v>
      </c>
      <c r="C337" s="1" t="s">
        <v>1000</v>
      </c>
    </row>
    <row r="338" spans="1:3" x14ac:dyDescent="0.25">
      <c r="A338" s="1" t="s">
        <v>1027</v>
      </c>
      <c r="B338" s="1" t="s">
        <v>1028</v>
      </c>
      <c r="C338" s="1" t="s">
        <v>1029</v>
      </c>
    </row>
    <row r="339" spans="1:3" x14ac:dyDescent="0.25">
      <c r="A339" s="1" t="s">
        <v>1030</v>
      </c>
      <c r="B339" s="1" t="s">
        <v>1031</v>
      </c>
      <c r="C339" s="1" t="s">
        <v>1032</v>
      </c>
    </row>
    <row r="340" spans="1:3" x14ac:dyDescent="0.25">
      <c r="A340" s="1" t="s">
        <v>1033</v>
      </c>
      <c r="B340" s="1" t="s">
        <v>1034</v>
      </c>
      <c r="C340" s="1" t="s">
        <v>1035</v>
      </c>
    </row>
    <row r="341" spans="1:3" x14ac:dyDescent="0.25">
      <c r="A341" s="1" t="s">
        <v>1036</v>
      </c>
      <c r="B341" s="1" t="s">
        <v>1037</v>
      </c>
      <c r="C341" s="1" t="s">
        <v>1038</v>
      </c>
    </row>
    <row r="342" spans="1:3" x14ac:dyDescent="0.25">
      <c r="A342" s="1" t="s">
        <v>1039</v>
      </c>
      <c r="B342" s="1" t="s">
        <v>1028</v>
      </c>
      <c r="C342" s="1" t="s">
        <v>1040</v>
      </c>
    </row>
    <row r="343" spans="1:3" x14ac:dyDescent="0.25">
      <c r="A343" s="1" t="s">
        <v>1041</v>
      </c>
      <c r="B343" s="1" t="s">
        <v>935</v>
      </c>
      <c r="C343" s="1" t="s">
        <v>1042</v>
      </c>
    </row>
    <row r="344" spans="1:3" x14ac:dyDescent="0.25">
      <c r="A344" s="1" t="s">
        <v>1043</v>
      </c>
      <c r="B344" s="1" t="s">
        <v>1044</v>
      </c>
      <c r="C344" s="1" t="s">
        <v>1045</v>
      </c>
    </row>
    <row r="345" spans="1:3" x14ac:dyDescent="0.25">
      <c r="A345" s="1" t="s">
        <v>1046</v>
      </c>
      <c r="B345" s="1" t="s">
        <v>1047</v>
      </c>
      <c r="C345" s="1" t="s">
        <v>1048</v>
      </c>
    </row>
    <row r="346" spans="1:3" x14ac:dyDescent="0.25">
      <c r="A346" s="1" t="s">
        <v>1049</v>
      </c>
      <c r="B346" s="1" t="s">
        <v>1050</v>
      </c>
      <c r="C346" s="1" t="s">
        <v>1051</v>
      </c>
    </row>
    <row r="347" spans="1:3" x14ac:dyDescent="0.25">
      <c r="A347" s="1" t="s">
        <v>1052</v>
      </c>
      <c r="B347" s="1" t="s">
        <v>1034</v>
      </c>
      <c r="C347" s="1" t="s">
        <v>1035</v>
      </c>
    </row>
    <row r="348" spans="1:3" x14ac:dyDescent="0.25">
      <c r="A348" s="1" t="s">
        <v>1053</v>
      </c>
      <c r="B348" s="1" t="s">
        <v>1054</v>
      </c>
      <c r="C348" s="1" t="s">
        <v>1055</v>
      </c>
    </row>
    <row r="349" spans="1:3" x14ac:dyDescent="0.25">
      <c r="A349" s="1" t="s">
        <v>1056</v>
      </c>
      <c r="B349" s="1" t="s">
        <v>1028</v>
      </c>
      <c r="C349" s="1" t="s">
        <v>1057</v>
      </c>
    </row>
    <row r="350" spans="1:3" x14ac:dyDescent="0.25">
      <c r="A350" s="1" t="s">
        <v>1058</v>
      </c>
      <c r="B350" s="1" t="s">
        <v>996</v>
      </c>
      <c r="C350" s="1" t="s">
        <v>997</v>
      </c>
    </row>
    <row r="351" spans="1:3" x14ac:dyDescent="0.25">
      <c r="A351" s="1" t="s">
        <v>1059</v>
      </c>
      <c r="B351" s="1" t="s">
        <v>1060</v>
      </c>
      <c r="C351" s="1" t="s">
        <v>1061</v>
      </c>
    </row>
    <row r="352" spans="1:3" x14ac:dyDescent="0.25">
      <c r="A352" s="1" t="s">
        <v>1062</v>
      </c>
      <c r="B352" s="1" t="s">
        <v>1063</v>
      </c>
      <c r="C352" s="1" t="s">
        <v>1064</v>
      </c>
    </row>
    <row r="353" spans="1:3" x14ac:dyDescent="0.25">
      <c r="A353" s="1" t="s">
        <v>1065</v>
      </c>
      <c r="B353" s="1" t="s">
        <v>1066</v>
      </c>
      <c r="C353" s="1" t="s">
        <v>1067</v>
      </c>
    </row>
    <row r="354" spans="1:3" x14ac:dyDescent="0.25">
      <c r="A354" s="1" t="s">
        <v>1068</v>
      </c>
      <c r="B354" s="1" t="s">
        <v>1069</v>
      </c>
      <c r="C354" s="1" t="s">
        <v>1070</v>
      </c>
    </row>
    <row r="355" spans="1:3" x14ac:dyDescent="0.25">
      <c r="A355" s="1" t="s">
        <v>1071</v>
      </c>
      <c r="B355" s="1" t="s">
        <v>1072</v>
      </c>
      <c r="C355" s="1" t="s">
        <v>1073</v>
      </c>
    </row>
    <row r="356" spans="1:3" x14ac:dyDescent="0.25">
      <c r="A356" s="1" t="s">
        <v>1074</v>
      </c>
      <c r="B356" s="1" t="s">
        <v>1075</v>
      </c>
      <c r="C356" s="1" t="s">
        <v>1076</v>
      </c>
    </row>
    <row r="357" spans="1:3" x14ac:dyDescent="0.25">
      <c r="A357" s="1" t="s">
        <v>1077</v>
      </c>
      <c r="B357" s="1" t="s">
        <v>1078</v>
      </c>
      <c r="C357" s="1" t="s">
        <v>1079</v>
      </c>
    </row>
    <row r="358" spans="1:3" x14ac:dyDescent="0.25">
      <c r="A358" s="1" t="s">
        <v>1080</v>
      </c>
      <c r="B358" s="1" t="s">
        <v>1081</v>
      </c>
      <c r="C358" s="1" t="s">
        <v>1082</v>
      </c>
    </row>
    <row r="359" spans="1:3" x14ac:dyDescent="0.25">
      <c r="A359" s="1" t="s">
        <v>1083</v>
      </c>
      <c r="B359" s="1" t="s">
        <v>1084</v>
      </c>
      <c r="C359" s="1" t="s">
        <v>1085</v>
      </c>
    </row>
    <row r="360" spans="1:3" x14ac:dyDescent="0.25">
      <c r="A360" s="1" t="s">
        <v>1086</v>
      </c>
      <c r="B360" s="1" t="s">
        <v>1087</v>
      </c>
      <c r="C360" s="1" t="s">
        <v>1088</v>
      </c>
    </row>
    <row r="361" spans="1:3" x14ac:dyDescent="0.25">
      <c r="A361" s="1" t="s">
        <v>1089</v>
      </c>
      <c r="B361" s="1" t="s">
        <v>1090</v>
      </c>
      <c r="C361" s="1" t="s">
        <v>1091</v>
      </c>
    </row>
    <row r="362" spans="1:3" x14ac:dyDescent="0.25">
      <c r="A362" s="1" t="s">
        <v>1092</v>
      </c>
      <c r="B362" s="1" t="s">
        <v>1093</v>
      </c>
      <c r="C362" s="1" t="s">
        <v>1094</v>
      </c>
    </row>
    <row r="363" spans="1:3" x14ac:dyDescent="0.25">
      <c r="A363" s="1" t="s">
        <v>1095</v>
      </c>
      <c r="B363" s="1" t="s">
        <v>1096</v>
      </c>
      <c r="C363" s="1" t="s">
        <v>1097</v>
      </c>
    </row>
    <row r="364" spans="1:3" x14ac:dyDescent="0.25">
      <c r="A364" s="1" t="s">
        <v>1098</v>
      </c>
      <c r="B364" s="1" t="s">
        <v>1099</v>
      </c>
      <c r="C364" s="1" t="s">
        <v>1100</v>
      </c>
    </row>
    <row r="365" spans="1:3" x14ac:dyDescent="0.25">
      <c r="A365" s="1" t="s">
        <v>1101</v>
      </c>
      <c r="B365" s="1" t="s">
        <v>1102</v>
      </c>
      <c r="C365" s="1" t="s">
        <v>1103</v>
      </c>
    </row>
    <row r="366" spans="1:3" x14ac:dyDescent="0.25">
      <c r="A366" s="1" t="s">
        <v>1104</v>
      </c>
      <c r="B366" s="1" t="s">
        <v>1105</v>
      </c>
      <c r="C366" s="1" t="s">
        <v>1106</v>
      </c>
    </row>
    <row r="367" spans="1:3" x14ac:dyDescent="0.25">
      <c r="A367" s="1" t="s">
        <v>1107</v>
      </c>
      <c r="B367" s="1" t="s">
        <v>1108</v>
      </c>
      <c r="C367" s="1" t="s">
        <v>1109</v>
      </c>
    </row>
    <row r="368" spans="1:3" x14ac:dyDescent="0.25">
      <c r="A368" s="1" t="s">
        <v>1110</v>
      </c>
      <c r="B368" s="1" t="s">
        <v>1111</v>
      </c>
      <c r="C368" s="1" t="s">
        <v>1112</v>
      </c>
    </row>
    <row r="369" spans="1:3" x14ac:dyDescent="0.25">
      <c r="A369" s="1" t="s">
        <v>1113</v>
      </c>
      <c r="B369" s="1" t="s">
        <v>1114</v>
      </c>
      <c r="C369" s="1" t="s">
        <v>1115</v>
      </c>
    </row>
    <row r="370" spans="1:3" x14ac:dyDescent="0.25">
      <c r="A370" s="1" t="s">
        <v>1116</v>
      </c>
      <c r="B370" s="1" t="s">
        <v>1117</v>
      </c>
      <c r="C370" s="1" t="s">
        <v>1118</v>
      </c>
    </row>
    <row r="371" spans="1:3" x14ac:dyDescent="0.25">
      <c r="A371" s="1" t="s">
        <v>1119</v>
      </c>
      <c r="B371" s="1" t="s">
        <v>1120</v>
      </c>
      <c r="C371" s="1" t="s">
        <v>1121</v>
      </c>
    </row>
    <row r="372" spans="1:3" x14ac:dyDescent="0.25">
      <c r="A372" s="1" t="s">
        <v>1122</v>
      </c>
      <c r="B372" s="1" t="s">
        <v>1123</v>
      </c>
      <c r="C372" s="1" t="s">
        <v>1124</v>
      </c>
    </row>
    <row r="373" spans="1:3" x14ac:dyDescent="0.25">
      <c r="A373" s="1" t="s">
        <v>1125</v>
      </c>
      <c r="B373" s="1" t="s">
        <v>1126</v>
      </c>
      <c r="C373" s="1" t="s">
        <v>1127</v>
      </c>
    </row>
    <row r="374" spans="1:3" x14ac:dyDescent="0.25">
      <c r="A374" s="1" t="s">
        <v>1128</v>
      </c>
      <c r="B374" s="1" t="s">
        <v>1129</v>
      </c>
      <c r="C374" s="1" t="s">
        <v>1130</v>
      </c>
    </row>
    <row r="375" spans="1:3" x14ac:dyDescent="0.25">
      <c r="A375" s="1" t="s">
        <v>1131</v>
      </c>
      <c r="B375" s="1" t="s">
        <v>1132</v>
      </c>
      <c r="C375" s="1" t="s">
        <v>1133</v>
      </c>
    </row>
    <row r="376" spans="1:3" x14ac:dyDescent="0.25">
      <c r="A376" s="1" t="s">
        <v>1134</v>
      </c>
      <c r="B376" s="1" t="s">
        <v>1135</v>
      </c>
      <c r="C376" s="1" t="s">
        <v>1136</v>
      </c>
    </row>
    <row r="377" spans="1:3" x14ac:dyDescent="0.25">
      <c r="A377" s="1" t="s">
        <v>1137</v>
      </c>
      <c r="B377" s="1" t="s">
        <v>1138</v>
      </c>
      <c r="C377" s="1" t="s">
        <v>1139</v>
      </c>
    </row>
    <row r="378" spans="1:3" x14ac:dyDescent="0.25">
      <c r="A378" s="1" t="s">
        <v>1140</v>
      </c>
      <c r="B378" s="1" t="s">
        <v>1141</v>
      </c>
      <c r="C378" s="1" t="s">
        <v>1142</v>
      </c>
    </row>
    <row r="379" spans="1:3" x14ac:dyDescent="0.25">
      <c r="A379" s="1" t="s">
        <v>1143</v>
      </c>
      <c r="B379" s="1" t="s">
        <v>1144</v>
      </c>
      <c r="C379" s="1" t="s">
        <v>1145</v>
      </c>
    </row>
    <row r="380" spans="1:3" x14ac:dyDescent="0.25">
      <c r="A380" s="1" t="s">
        <v>1146</v>
      </c>
      <c r="B380" s="1" t="s">
        <v>1147</v>
      </c>
      <c r="C380" s="1" t="s">
        <v>1148</v>
      </c>
    </row>
    <row r="381" spans="1:3" x14ac:dyDescent="0.25">
      <c r="A381" s="1" t="s">
        <v>1149</v>
      </c>
      <c r="B381" s="1" t="s">
        <v>1150</v>
      </c>
      <c r="C381" s="1" t="s">
        <v>1151</v>
      </c>
    </row>
    <row r="382" spans="1:3" x14ac:dyDescent="0.25">
      <c r="A382" s="1" t="s">
        <v>1152</v>
      </c>
      <c r="B382" s="1" t="s">
        <v>1153</v>
      </c>
      <c r="C382" s="1" t="s">
        <v>1154</v>
      </c>
    </row>
    <row r="383" spans="1:3" x14ac:dyDescent="0.25">
      <c r="A383" s="1" t="s">
        <v>1155</v>
      </c>
      <c r="B383" s="1" t="s">
        <v>1156</v>
      </c>
      <c r="C383" s="1" t="s">
        <v>1157</v>
      </c>
    </row>
    <row r="384" spans="1:3" x14ac:dyDescent="0.25">
      <c r="A384" s="1" t="s">
        <v>1158</v>
      </c>
      <c r="B384" s="1" t="s">
        <v>1159</v>
      </c>
      <c r="C384" s="1" t="s">
        <v>1160</v>
      </c>
    </row>
    <row r="385" spans="1:3" x14ac:dyDescent="0.25">
      <c r="A385" s="1" t="s">
        <v>1161</v>
      </c>
      <c r="B385" s="1" t="s">
        <v>1135</v>
      </c>
      <c r="C385" s="1" t="s">
        <v>1136</v>
      </c>
    </row>
    <row r="386" spans="1:3" x14ac:dyDescent="0.25">
      <c r="A386" s="1" t="s">
        <v>1162</v>
      </c>
      <c r="B386" s="1" t="s">
        <v>1163</v>
      </c>
      <c r="C386" s="1" t="s">
        <v>1164</v>
      </c>
    </row>
    <row r="387" spans="1:3" x14ac:dyDescent="0.25">
      <c r="A387" s="1" t="s">
        <v>1165</v>
      </c>
      <c r="B387" s="1" t="s">
        <v>1166</v>
      </c>
      <c r="C387" s="1" t="s">
        <v>1167</v>
      </c>
    </row>
    <row r="388" spans="1:3" x14ac:dyDescent="0.25">
      <c r="A388" s="1" t="s">
        <v>1168</v>
      </c>
      <c r="B388" s="1" t="s">
        <v>1169</v>
      </c>
      <c r="C388" s="1" t="s">
        <v>1170</v>
      </c>
    </row>
    <row r="389" spans="1:3" x14ac:dyDescent="0.25">
      <c r="A389" s="1" t="s">
        <v>1171</v>
      </c>
      <c r="B389" s="1" t="s">
        <v>1172</v>
      </c>
      <c r="C389" s="1" t="s">
        <v>1173</v>
      </c>
    </row>
    <row r="390" spans="1:3" x14ac:dyDescent="0.25">
      <c r="A390" s="1" t="s">
        <v>1174</v>
      </c>
      <c r="B390" s="1" t="s">
        <v>1129</v>
      </c>
      <c r="C390" s="1" t="s">
        <v>1175</v>
      </c>
    </row>
    <row r="391" spans="1:3" x14ac:dyDescent="0.25">
      <c r="A391" s="1" t="s">
        <v>1176</v>
      </c>
      <c r="B391" s="1" t="s">
        <v>1177</v>
      </c>
      <c r="C391" s="1" t="s">
        <v>1178</v>
      </c>
    </row>
    <row r="392" spans="1:3" x14ac:dyDescent="0.25">
      <c r="A392" s="1" t="s">
        <v>1179</v>
      </c>
      <c r="B392" s="1" t="s">
        <v>1180</v>
      </c>
      <c r="C392" s="1" t="s">
        <v>1181</v>
      </c>
    </row>
    <row r="393" spans="1:3" x14ac:dyDescent="0.25">
      <c r="A393" s="1" t="s">
        <v>1182</v>
      </c>
      <c r="B393" s="1" t="s">
        <v>1183</v>
      </c>
      <c r="C393" s="1" t="s">
        <v>1184</v>
      </c>
    </row>
    <row r="394" spans="1:3" x14ac:dyDescent="0.25">
      <c r="A394" s="1" t="s">
        <v>1185</v>
      </c>
      <c r="B394" s="1" t="s">
        <v>1186</v>
      </c>
      <c r="C394" s="1" t="s">
        <v>1187</v>
      </c>
    </row>
    <row r="395" spans="1:3" x14ac:dyDescent="0.25">
      <c r="A395" s="1" t="s">
        <v>1188</v>
      </c>
      <c r="B395" s="1" t="s">
        <v>1189</v>
      </c>
      <c r="C395" s="1" t="s">
        <v>1190</v>
      </c>
    </row>
    <row r="396" spans="1:3" x14ac:dyDescent="0.25">
      <c r="A396" s="1" t="s">
        <v>1191</v>
      </c>
      <c r="B396" s="1" t="s">
        <v>1183</v>
      </c>
      <c r="C396" s="1" t="s">
        <v>1184</v>
      </c>
    </row>
    <row r="397" spans="1:3" x14ac:dyDescent="0.25">
      <c r="A397" s="1" t="s">
        <v>1192</v>
      </c>
      <c r="B397" s="1" t="s">
        <v>1189</v>
      </c>
      <c r="C397" s="1" t="s">
        <v>1193</v>
      </c>
    </row>
    <row r="398" spans="1:3" x14ac:dyDescent="0.25">
      <c r="A398" s="1" t="s">
        <v>1194</v>
      </c>
      <c r="B398" s="1" t="s">
        <v>1195</v>
      </c>
      <c r="C398" s="1" t="s">
        <v>1196</v>
      </c>
    </row>
    <row r="399" spans="1:3" x14ac:dyDescent="0.25">
      <c r="A399" s="1" t="s">
        <v>1197</v>
      </c>
      <c r="B399" s="1" t="s">
        <v>1198</v>
      </c>
      <c r="C399" s="1" t="s">
        <v>1199</v>
      </c>
    </row>
    <row r="400" spans="1:3" x14ac:dyDescent="0.25">
      <c r="A400" s="1" t="s">
        <v>1200</v>
      </c>
      <c r="B400" s="1" t="s">
        <v>1201</v>
      </c>
      <c r="C400" s="1" t="s">
        <v>1202</v>
      </c>
    </row>
    <row r="401" spans="1:3" x14ac:dyDescent="0.25">
      <c r="A401" s="1" t="s">
        <v>1203</v>
      </c>
      <c r="B401" s="1" t="s">
        <v>1177</v>
      </c>
      <c r="C401" s="1" t="s">
        <v>1204</v>
      </c>
    </row>
    <row r="402" spans="1:3" x14ac:dyDescent="0.25">
      <c r="A402" s="1" t="s">
        <v>1205</v>
      </c>
      <c r="B402" s="1" t="s">
        <v>1186</v>
      </c>
      <c r="C402" s="1" t="s">
        <v>1187</v>
      </c>
    </row>
    <row r="403" spans="1:3" x14ac:dyDescent="0.25">
      <c r="A403" s="1" t="s">
        <v>1206</v>
      </c>
      <c r="B403" s="1" t="s">
        <v>1207</v>
      </c>
      <c r="C403" s="1" t="s">
        <v>1208</v>
      </c>
    </row>
    <row r="404" spans="1:3" x14ac:dyDescent="0.25">
      <c r="A404" s="1" t="s">
        <v>1209</v>
      </c>
      <c r="B404" s="1" t="s">
        <v>1210</v>
      </c>
      <c r="C404" s="1" t="s">
        <v>1211</v>
      </c>
    </row>
    <row r="405" spans="1:3" x14ac:dyDescent="0.25">
      <c r="A405" s="1" t="s">
        <v>1212</v>
      </c>
      <c r="B405" s="1" t="s">
        <v>1213</v>
      </c>
      <c r="C405" s="1" t="s">
        <v>1214</v>
      </c>
    </row>
    <row r="406" spans="1:3" x14ac:dyDescent="0.25">
      <c r="A406" s="1" t="s">
        <v>1215</v>
      </c>
      <c r="B406" s="1" t="s">
        <v>1216</v>
      </c>
      <c r="C406" s="1" t="s">
        <v>1217</v>
      </c>
    </row>
    <row r="407" spans="1:3" x14ac:dyDescent="0.25">
      <c r="A407" s="1" t="s">
        <v>1218</v>
      </c>
      <c r="B407" s="1" t="s">
        <v>1219</v>
      </c>
      <c r="C407" s="1" t="s">
        <v>1220</v>
      </c>
    </row>
    <row r="408" spans="1:3" x14ac:dyDescent="0.25">
      <c r="A408" s="1" t="s">
        <v>1221</v>
      </c>
      <c r="B408" s="1" t="s">
        <v>1222</v>
      </c>
      <c r="C408" s="1" t="s">
        <v>1223</v>
      </c>
    </row>
    <row r="409" spans="1:3" x14ac:dyDescent="0.25">
      <c r="A409" s="1" t="s">
        <v>1224</v>
      </c>
      <c r="B409" s="1" t="s">
        <v>1225</v>
      </c>
      <c r="C409" s="1" t="s">
        <v>1226</v>
      </c>
    </row>
    <row r="410" spans="1:3" x14ac:dyDescent="0.25">
      <c r="A410" s="1" t="s">
        <v>1227</v>
      </c>
      <c r="B410" s="1" t="s">
        <v>1228</v>
      </c>
      <c r="C410" s="1" t="s">
        <v>1229</v>
      </c>
    </row>
    <row r="411" spans="1:3" x14ac:dyDescent="0.25">
      <c r="A411" s="1" t="s">
        <v>1230</v>
      </c>
      <c r="B411" s="1" t="s">
        <v>1231</v>
      </c>
      <c r="C411" s="1" t="s">
        <v>1232</v>
      </c>
    </row>
    <row r="412" spans="1:3" x14ac:dyDescent="0.25">
      <c r="A412" s="1" t="s">
        <v>1233</v>
      </c>
      <c r="B412" s="1" t="s">
        <v>1195</v>
      </c>
      <c r="C412" s="1" t="s">
        <v>1234</v>
      </c>
    </row>
    <row r="413" spans="1:3" x14ac:dyDescent="0.25">
      <c r="A413" s="1" t="s">
        <v>1235</v>
      </c>
      <c r="B413" s="1" t="s">
        <v>1207</v>
      </c>
      <c r="C413" s="1" t="s">
        <v>1236</v>
      </c>
    </row>
    <row r="414" spans="1:3" x14ac:dyDescent="0.25">
      <c r="A414" s="1" t="s">
        <v>1237</v>
      </c>
      <c r="B414" s="1" t="s">
        <v>1238</v>
      </c>
      <c r="C414" s="1" t="s">
        <v>1239</v>
      </c>
    </row>
    <row r="415" spans="1:3" x14ac:dyDescent="0.25">
      <c r="A415" s="1" t="s">
        <v>1240</v>
      </c>
      <c r="B415" s="1" t="s">
        <v>1228</v>
      </c>
      <c r="C415" s="1" t="s">
        <v>1229</v>
      </c>
    </row>
    <row r="416" spans="1:3" x14ac:dyDescent="0.25">
      <c r="A416" s="1" t="s">
        <v>1241</v>
      </c>
      <c r="B416" s="1" t="s">
        <v>1120</v>
      </c>
      <c r="C416" s="1" t="s">
        <v>1242</v>
      </c>
    </row>
    <row r="417" spans="1:3" x14ac:dyDescent="0.25">
      <c r="A417" s="1" t="s">
        <v>1243</v>
      </c>
      <c r="B417" s="1" t="s">
        <v>1207</v>
      </c>
      <c r="C417" s="1" t="s">
        <v>1244</v>
      </c>
    </row>
    <row r="418" spans="1:3" x14ac:dyDescent="0.25">
      <c r="A418" s="1" t="s">
        <v>1245</v>
      </c>
      <c r="B418" s="1" t="s">
        <v>1246</v>
      </c>
      <c r="C418" s="1" t="s">
        <v>1247</v>
      </c>
    </row>
    <row r="419" spans="1:3" x14ac:dyDescent="0.25">
      <c r="A419" s="1" t="s">
        <v>1248</v>
      </c>
      <c r="B419" s="1" t="s">
        <v>1249</v>
      </c>
      <c r="C419" s="1" t="s">
        <v>1250</v>
      </c>
    </row>
    <row r="420" spans="1:3" x14ac:dyDescent="0.25">
      <c r="A420" s="1" t="s">
        <v>1251</v>
      </c>
      <c r="B420" s="1" t="s">
        <v>1252</v>
      </c>
      <c r="C420" s="1" t="s">
        <v>1253</v>
      </c>
    </row>
    <row r="421" spans="1:3" x14ac:dyDescent="0.25">
      <c r="A421" s="1" t="s">
        <v>1254</v>
      </c>
      <c r="B421" s="1" t="s">
        <v>1120</v>
      </c>
      <c r="C421" s="1" t="s">
        <v>1255</v>
      </c>
    </row>
    <row r="422" spans="1:3" x14ac:dyDescent="0.25">
      <c r="A422" s="1" t="s">
        <v>1256</v>
      </c>
      <c r="B422" s="1" t="s">
        <v>1257</v>
      </c>
      <c r="C422" s="1" t="s">
        <v>1258</v>
      </c>
    </row>
    <row r="423" spans="1:3" x14ac:dyDescent="0.25">
      <c r="A423" s="1" t="s">
        <v>1259</v>
      </c>
      <c r="B423" s="1" t="s">
        <v>1260</v>
      </c>
      <c r="C423" s="1" t="s">
        <v>1261</v>
      </c>
    </row>
    <row r="424" spans="1:3" x14ac:dyDescent="0.25">
      <c r="A424" s="1" t="s">
        <v>1262</v>
      </c>
      <c r="B424" s="1" t="s">
        <v>1263</v>
      </c>
      <c r="C424" s="1" t="s">
        <v>1264</v>
      </c>
    </row>
    <row r="425" spans="1:3" x14ac:dyDescent="0.25">
      <c r="A425" s="1" t="s">
        <v>1265</v>
      </c>
      <c r="B425" s="1" t="s">
        <v>1266</v>
      </c>
      <c r="C425" s="1" t="s">
        <v>1267</v>
      </c>
    </row>
    <row r="426" spans="1:3" x14ac:dyDescent="0.25">
      <c r="A426" s="1" t="s">
        <v>1268</v>
      </c>
      <c r="B426" s="1" t="s">
        <v>1269</v>
      </c>
      <c r="C426" s="1" t="s">
        <v>1270</v>
      </c>
    </row>
    <row r="427" spans="1:3" x14ac:dyDescent="0.25">
      <c r="A427" s="1" t="s">
        <v>1271</v>
      </c>
      <c r="B427" s="1" t="s">
        <v>1272</v>
      </c>
      <c r="C427" s="1" t="s">
        <v>1273</v>
      </c>
    </row>
    <row r="428" spans="1:3" x14ac:dyDescent="0.25">
      <c r="A428" s="1" t="s">
        <v>1274</v>
      </c>
      <c r="B428" s="1" t="s">
        <v>1120</v>
      </c>
      <c r="C428" s="1" t="s">
        <v>1275</v>
      </c>
    </row>
    <row r="429" spans="1:3" x14ac:dyDescent="0.25">
      <c r="A429" s="1" t="s">
        <v>1276</v>
      </c>
      <c r="B429" s="1" t="s">
        <v>1277</v>
      </c>
      <c r="C429" s="1" t="s">
        <v>1278</v>
      </c>
    </row>
    <row r="430" spans="1:3" x14ac:dyDescent="0.25">
      <c r="A430" s="1" t="s">
        <v>1279</v>
      </c>
      <c r="B430" s="1" t="s">
        <v>1280</v>
      </c>
      <c r="C430" s="1" t="s">
        <v>1281</v>
      </c>
    </row>
    <row r="431" spans="1:3" x14ac:dyDescent="0.25">
      <c r="A431" s="1" t="s">
        <v>1282</v>
      </c>
      <c r="B431" s="1" t="s">
        <v>1283</v>
      </c>
      <c r="C431" s="1" t="s">
        <v>1284</v>
      </c>
    </row>
    <row r="432" spans="1:3" x14ac:dyDescent="0.25">
      <c r="A432" s="1" t="s">
        <v>1285</v>
      </c>
      <c r="B432" s="1" t="s">
        <v>1286</v>
      </c>
      <c r="C432" s="1" t="s">
        <v>1287</v>
      </c>
    </row>
    <row r="433" spans="1:3" x14ac:dyDescent="0.25">
      <c r="A433" s="1" t="s">
        <v>1288</v>
      </c>
      <c r="B433" s="1" t="s">
        <v>1283</v>
      </c>
      <c r="C433" s="1" t="s">
        <v>1289</v>
      </c>
    </row>
    <row r="434" spans="1:3" x14ac:dyDescent="0.25">
      <c r="A434" s="1" t="s">
        <v>1290</v>
      </c>
      <c r="B434" s="1" t="s">
        <v>1291</v>
      </c>
      <c r="C434" s="1" t="s">
        <v>1292</v>
      </c>
    </row>
    <row r="435" spans="1:3" x14ac:dyDescent="0.25">
      <c r="A435" s="1" t="s">
        <v>1293</v>
      </c>
      <c r="B435" s="1" t="s">
        <v>1294</v>
      </c>
      <c r="C435" s="1" t="s">
        <v>1295</v>
      </c>
    </row>
    <row r="436" spans="1:3" x14ac:dyDescent="0.25">
      <c r="A436" s="1" t="s">
        <v>1296</v>
      </c>
      <c r="B436" s="1" t="s">
        <v>1297</v>
      </c>
      <c r="C436" s="1" t="s">
        <v>1298</v>
      </c>
    </row>
    <row r="437" spans="1:3" x14ac:dyDescent="0.25">
      <c r="A437" s="1" t="s">
        <v>1299</v>
      </c>
      <c r="B437" s="1" t="s">
        <v>1252</v>
      </c>
      <c r="C437" s="1" t="s">
        <v>1300</v>
      </c>
    </row>
    <row r="438" spans="1:3" x14ac:dyDescent="0.25">
      <c r="A438" s="1" t="s">
        <v>1301</v>
      </c>
      <c r="B438" s="1" t="s">
        <v>1302</v>
      </c>
      <c r="C438" s="1" t="s">
        <v>1303</v>
      </c>
    </row>
    <row r="439" spans="1:3" x14ac:dyDescent="0.25">
      <c r="A439" s="1" t="s">
        <v>1304</v>
      </c>
      <c r="B439" s="1" t="s">
        <v>1305</v>
      </c>
      <c r="C439" s="1" t="s">
        <v>1306</v>
      </c>
    </row>
    <row r="440" spans="1:3" x14ac:dyDescent="0.25">
      <c r="A440" s="1" t="s">
        <v>1307</v>
      </c>
      <c r="B440" s="1" t="s">
        <v>1308</v>
      </c>
      <c r="C440" s="1" t="s">
        <v>1309</v>
      </c>
    </row>
    <row r="441" spans="1:3" x14ac:dyDescent="0.25">
      <c r="A441" s="1" t="s">
        <v>1310</v>
      </c>
      <c r="B441" s="1" t="s">
        <v>1311</v>
      </c>
      <c r="C441" s="1" t="s">
        <v>1312</v>
      </c>
    </row>
    <row r="442" spans="1:3" x14ac:dyDescent="0.25">
      <c r="A442" s="1" t="s">
        <v>1313</v>
      </c>
      <c r="B442" s="1" t="s">
        <v>1314</v>
      </c>
      <c r="C442" s="1" t="s">
        <v>1315</v>
      </c>
    </row>
    <row r="443" spans="1:3" x14ac:dyDescent="0.25">
      <c r="A443" s="1" t="s">
        <v>1316</v>
      </c>
      <c r="B443" s="1" t="s">
        <v>1317</v>
      </c>
      <c r="C443" s="1" t="s">
        <v>1318</v>
      </c>
    </row>
    <row r="444" spans="1:3" x14ac:dyDescent="0.25">
      <c r="A444" s="1" t="s">
        <v>1319</v>
      </c>
      <c r="B444" s="1" t="s">
        <v>1320</v>
      </c>
      <c r="C444" s="1" t="s">
        <v>1321</v>
      </c>
    </row>
    <row r="445" spans="1:3" x14ac:dyDescent="0.25">
      <c r="A445" s="1" t="s">
        <v>1322</v>
      </c>
      <c r="B445" s="1" t="s">
        <v>1323</v>
      </c>
      <c r="C445" s="1" t="s">
        <v>1324</v>
      </c>
    </row>
    <row r="446" spans="1:3" x14ac:dyDescent="0.25">
      <c r="A446" s="1" t="s">
        <v>1325</v>
      </c>
      <c r="B446" s="1" t="s">
        <v>1326</v>
      </c>
      <c r="C446" s="1" t="s">
        <v>1327</v>
      </c>
    </row>
    <row r="447" spans="1:3" x14ac:dyDescent="0.25">
      <c r="A447" s="1" t="s">
        <v>1328</v>
      </c>
      <c r="B447" s="1" t="s">
        <v>1329</v>
      </c>
      <c r="C447" s="1" t="s">
        <v>1330</v>
      </c>
    </row>
    <row r="448" spans="1:3" x14ac:dyDescent="0.25">
      <c r="A448" s="1" t="s">
        <v>1331</v>
      </c>
      <c r="B448" s="1" t="s">
        <v>1323</v>
      </c>
      <c r="C448" s="1" t="s">
        <v>1324</v>
      </c>
    </row>
    <row r="449" spans="1:3" x14ac:dyDescent="0.25">
      <c r="A449" s="1" t="s">
        <v>1332</v>
      </c>
      <c r="B449" s="1" t="s">
        <v>1333</v>
      </c>
      <c r="C449" s="1" t="s">
        <v>1334</v>
      </c>
    </row>
    <row r="450" spans="1:3" x14ac:dyDescent="0.25">
      <c r="A450" s="1" t="s">
        <v>1335</v>
      </c>
      <c r="B450" s="1" t="s">
        <v>1336</v>
      </c>
      <c r="C450" s="1" t="s">
        <v>1337</v>
      </c>
    </row>
    <row r="451" spans="1:3" x14ac:dyDescent="0.25">
      <c r="A451" s="1" t="s">
        <v>1338</v>
      </c>
      <c r="B451" s="1" t="s">
        <v>1339</v>
      </c>
      <c r="C451" s="1" t="s">
        <v>1340</v>
      </c>
    </row>
    <row r="452" spans="1:3" x14ac:dyDescent="0.25">
      <c r="A452" s="1" t="s">
        <v>1341</v>
      </c>
      <c r="B452" s="1" t="s">
        <v>1286</v>
      </c>
      <c r="C452" s="1" t="s">
        <v>1342</v>
      </c>
    </row>
    <row r="453" spans="1:3" x14ac:dyDescent="0.25">
      <c r="A453" s="1" t="s">
        <v>1343</v>
      </c>
      <c r="B453" s="1" t="s">
        <v>1344</v>
      </c>
      <c r="C453" s="1" t="s">
        <v>1345</v>
      </c>
    </row>
    <row r="454" spans="1:3" x14ac:dyDescent="0.25">
      <c r="A454" s="1" t="s">
        <v>1346</v>
      </c>
      <c r="B454" s="1" t="s">
        <v>1347</v>
      </c>
      <c r="C454" s="1" t="s">
        <v>1348</v>
      </c>
    </row>
    <row r="455" spans="1:3" x14ac:dyDescent="0.25">
      <c r="A455" s="1" t="s">
        <v>1349</v>
      </c>
      <c r="B455" s="1" t="s">
        <v>1350</v>
      </c>
      <c r="C455" s="1" t="s">
        <v>1351</v>
      </c>
    </row>
    <row r="456" spans="1:3" x14ac:dyDescent="0.25">
      <c r="A456" s="1" t="s">
        <v>1352</v>
      </c>
      <c r="B456" s="1" t="s">
        <v>1353</v>
      </c>
      <c r="C456" s="1" t="s">
        <v>1354</v>
      </c>
    </row>
    <row r="457" spans="1:3" x14ac:dyDescent="0.25">
      <c r="A457" s="1" t="s">
        <v>1355</v>
      </c>
      <c r="B457" s="1" t="s">
        <v>1356</v>
      </c>
      <c r="C457" s="1" t="s">
        <v>1357</v>
      </c>
    </row>
    <row r="458" spans="1:3" x14ac:dyDescent="0.25">
      <c r="A458" s="1" t="s">
        <v>1358</v>
      </c>
      <c r="B458" s="1" t="s">
        <v>1311</v>
      </c>
      <c r="C458" s="1" t="s">
        <v>1359</v>
      </c>
    </row>
    <row r="459" spans="1:3" x14ac:dyDescent="0.25">
      <c r="A459" s="1" t="s">
        <v>1360</v>
      </c>
      <c r="B459" s="1" t="s">
        <v>1361</v>
      </c>
      <c r="C459" s="1" t="s">
        <v>1362</v>
      </c>
    </row>
    <row r="460" spans="1:3" x14ac:dyDescent="0.25">
      <c r="A460" s="1" t="s">
        <v>1363</v>
      </c>
      <c r="B460" s="1" t="s">
        <v>1364</v>
      </c>
      <c r="C460" s="1" t="s">
        <v>1365</v>
      </c>
    </row>
    <row r="461" spans="1:3" x14ac:dyDescent="0.25">
      <c r="A461" s="1" t="s">
        <v>1366</v>
      </c>
      <c r="B461" s="1" t="s">
        <v>1353</v>
      </c>
      <c r="C461" s="1" t="s">
        <v>1354</v>
      </c>
    </row>
    <row r="462" spans="1:3" x14ac:dyDescent="0.25">
      <c r="A462" s="1" t="s">
        <v>1367</v>
      </c>
      <c r="B462" s="1" t="s">
        <v>1368</v>
      </c>
      <c r="C462" s="1" t="s">
        <v>1369</v>
      </c>
    </row>
    <row r="463" spans="1:3" x14ac:dyDescent="0.25">
      <c r="A463" s="1" t="s">
        <v>1370</v>
      </c>
      <c r="B463" s="1" t="s">
        <v>1371</v>
      </c>
      <c r="C463" s="1" t="s">
        <v>1372</v>
      </c>
    </row>
    <row r="464" spans="1:3" x14ac:dyDescent="0.25">
      <c r="A464" s="1" t="s">
        <v>1373</v>
      </c>
      <c r="B464" s="1" t="s">
        <v>1374</v>
      </c>
      <c r="C464" s="1" t="s">
        <v>1375</v>
      </c>
    </row>
    <row r="465" spans="1:3" x14ac:dyDescent="0.25">
      <c r="A465" s="1" t="s">
        <v>1376</v>
      </c>
      <c r="B465" s="1" t="s">
        <v>1377</v>
      </c>
      <c r="C465" s="1" t="s">
        <v>1378</v>
      </c>
    </row>
    <row r="466" spans="1:3" x14ac:dyDescent="0.25">
      <c r="A466" s="1" t="s">
        <v>1379</v>
      </c>
      <c r="B466" s="1" t="s">
        <v>1380</v>
      </c>
      <c r="C466" s="1" t="s">
        <v>1381</v>
      </c>
    </row>
    <row r="467" spans="1:3" x14ac:dyDescent="0.25">
      <c r="A467" s="1" t="s">
        <v>1382</v>
      </c>
      <c r="B467" s="1" t="s">
        <v>1383</v>
      </c>
      <c r="C467" s="1" t="s">
        <v>1384</v>
      </c>
    </row>
    <row r="468" spans="1:3" x14ac:dyDescent="0.25">
      <c r="A468" s="1" t="s">
        <v>1385</v>
      </c>
      <c r="B468" s="1" t="s">
        <v>1386</v>
      </c>
      <c r="C468" s="1" t="s">
        <v>1387</v>
      </c>
    </row>
    <row r="469" spans="1:3" x14ac:dyDescent="0.25">
      <c r="A469" s="1" t="s">
        <v>1388</v>
      </c>
      <c r="B469" s="1" t="s">
        <v>1389</v>
      </c>
      <c r="C469" s="1" t="s">
        <v>1390</v>
      </c>
    </row>
    <row r="470" spans="1:3" x14ac:dyDescent="0.25">
      <c r="A470" s="1" t="s">
        <v>1391</v>
      </c>
      <c r="B470" s="1" t="s">
        <v>1392</v>
      </c>
      <c r="C470" s="1" t="s">
        <v>1393</v>
      </c>
    </row>
    <row r="471" spans="1:3" x14ac:dyDescent="0.25">
      <c r="A471" s="1" t="s">
        <v>1394</v>
      </c>
      <c r="B471" s="1" t="s">
        <v>1395</v>
      </c>
      <c r="C471" s="1" t="s">
        <v>1396</v>
      </c>
    </row>
    <row r="472" spans="1:3" x14ac:dyDescent="0.25">
      <c r="A472" s="1" t="s">
        <v>1397</v>
      </c>
      <c r="B472" s="1" t="s">
        <v>1398</v>
      </c>
      <c r="C472" s="1" t="s">
        <v>1399</v>
      </c>
    </row>
    <row r="473" spans="1:3" x14ac:dyDescent="0.25">
      <c r="A473" s="1" t="s">
        <v>1400</v>
      </c>
      <c r="B473" s="1" t="s">
        <v>1401</v>
      </c>
      <c r="C473" s="1" t="s">
        <v>1402</v>
      </c>
    </row>
    <row r="474" spans="1:3" x14ac:dyDescent="0.25">
      <c r="A474" s="1" t="s">
        <v>1403</v>
      </c>
      <c r="B474" s="1" t="s">
        <v>1404</v>
      </c>
      <c r="C474" s="1" t="s">
        <v>1405</v>
      </c>
    </row>
    <row r="475" spans="1:3" x14ac:dyDescent="0.25">
      <c r="A475" s="1" t="s">
        <v>1406</v>
      </c>
      <c r="B475" s="1" t="s">
        <v>1407</v>
      </c>
      <c r="C475" s="1" t="s">
        <v>1408</v>
      </c>
    </row>
    <row r="476" spans="1:3" x14ac:dyDescent="0.25">
      <c r="A476" s="1" t="s">
        <v>1409</v>
      </c>
      <c r="B476" s="1" t="s">
        <v>1410</v>
      </c>
      <c r="C476" s="1" t="s">
        <v>1411</v>
      </c>
    </row>
    <row r="477" spans="1:3" x14ac:dyDescent="0.25">
      <c r="A477" s="1" t="s">
        <v>1412</v>
      </c>
      <c r="B477" s="1" t="s">
        <v>1404</v>
      </c>
      <c r="C477" s="1" t="s">
        <v>1405</v>
      </c>
    </row>
    <row r="478" spans="1:3" x14ac:dyDescent="0.25">
      <c r="A478" s="1" t="s">
        <v>1413</v>
      </c>
      <c r="B478" s="1" t="s">
        <v>1414</v>
      </c>
      <c r="C478" s="1" t="s">
        <v>1415</v>
      </c>
    </row>
    <row r="479" spans="1:3" x14ac:dyDescent="0.25">
      <c r="A479" s="1" t="s">
        <v>1416</v>
      </c>
      <c r="B479" s="1" t="s">
        <v>1417</v>
      </c>
      <c r="C479" s="1" t="s">
        <v>1418</v>
      </c>
    </row>
    <row r="480" spans="1:3" x14ac:dyDescent="0.25">
      <c r="A480" s="1" t="s">
        <v>1419</v>
      </c>
      <c r="B480" s="1" t="s">
        <v>1420</v>
      </c>
      <c r="C480" s="1" t="s">
        <v>1421</v>
      </c>
    </row>
    <row r="481" spans="1:3" x14ac:dyDescent="0.25">
      <c r="A481" s="1" t="s">
        <v>1422</v>
      </c>
      <c r="B481" s="1" t="s">
        <v>1423</v>
      </c>
      <c r="C481" s="1" t="s">
        <v>1424</v>
      </c>
    </row>
    <row r="482" spans="1:3" x14ac:dyDescent="0.25">
      <c r="A482" s="1" t="s">
        <v>1425</v>
      </c>
      <c r="B482" s="1" t="s">
        <v>1339</v>
      </c>
      <c r="C482" s="1" t="s">
        <v>1426</v>
      </c>
    </row>
    <row r="483" spans="1:3" x14ac:dyDescent="0.25">
      <c r="A483" s="1" t="s">
        <v>1427</v>
      </c>
      <c r="B483" s="1" t="s">
        <v>1428</v>
      </c>
      <c r="C483" s="1" t="s">
        <v>1429</v>
      </c>
    </row>
    <row r="484" spans="1:3" x14ac:dyDescent="0.25">
      <c r="A484" s="1" t="s">
        <v>1430</v>
      </c>
      <c r="B484" s="1" t="s">
        <v>1431</v>
      </c>
      <c r="C484" s="1" t="s">
        <v>1432</v>
      </c>
    </row>
    <row r="485" spans="1:3" x14ac:dyDescent="0.25">
      <c r="A485" s="1" t="s">
        <v>1433</v>
      </c>
      <c r="B485" s="1" t="s">
        <v>1434</v>
      </c>
      <c r="C485" s="1" t="s">
        <v>1435</v>
      </c>
    </row>
    <row r="486" spans="1:3" x14ac:dyDescent="0.25">
      <c r="A486" s="1" t="s">
        <v>1436</v>
      </c>
      <c r="B486" s="1" t="s">
        <v>1437</v>
      </c>
      <c r="C486" s="1" t="s">
        <v>1438</v>
      </c>
    </row>
    <row r="487" spans="1:3" x14ac:dyDescent="0.25">
      <c r="A487" s="1" t="s">
        <v>1439</v>
      </c>
      <c r="B487" s="1" t="s">
        <v>1440</v>
      </c>
      <c r="C487" s="1" t="s">
        <v>1441</v>
      </c>
    </row>
    <row r="488" spans="1:3" x14ac:dyDescent="0.25">
      <c r="A488" s="1" t="s">
        <v>1442</v>
      </c>
      <c r="B488" s="1" t="s">
        <v>1443</v>
      </c>
      <c r="C488" s="1" t="s">
        <v>1444</v>
      </c>
    </row>
    <row r="489" spans="1:3" x14ac:dyDescent="0.25">
      <c r="A489" s="1" t="s">
        <v>1445</v>
      </c>
      <c r="B489" s="1" t="s">
        <v>1446</v>
      </c>
      <c r="C489" s="1" t="s">
        <v>1447</v>
      </c>
    </row>
    <row r="490" spans="1:3" x14ac:dyDescent="0.25">
      <c r="A490" s="1" t="s">
        <v>1448</v>
      </c>
      <c r="B490" s="1" t="s">
        <v>1449</v>
      </c>
      <c r="C490" s="1" t="s">
        <v>1450</v>
      </c>
    </row>
    <row r="491" spans="1:3" x14ac:dyDescent="0.25">
      <c r="A491" s="1" t="s">
        <v>1451</v>
      </c>
      <c r="B491" s="1" t="s">
        <v>1452</v>
      </c>
      <c r="C491" s="1" t="s">
        <v>1453</v>
      </c>
    </row>
    <row r="492" spans="1:3" x14ac:dyDescent="0.25">
      <c r="A492" s="1" t="s">
        <v>1454</v>
      </c>
      <c r="B492" s="1" t="s">
        <v>1455</v>
      </c>
      <c r="C492" s="1" t="s">
        <v>1456</v>
      </c>
    </row>
    <row r="493" spans="1:3" x14ac:dyDescent="0.25">
      <c r="A493" s="1" t="s">
        <v>1457</v>
      </c>
      <c r="B493" s="1" t="s">
        <v>1458</v>
      </c>
      <c r="C493" s="1" t="s">
        <v>1459</v>
      </c>
    </row>
    <row r="494" spans="1:3" x14ac:dyDescent="0.25">
      <c r="A494" s="1" t="s">
        <v>1460</v>
      </c>
      <c r="B494" s="1" t="s">
        <v>1461</v>
      </c>
      <c r="C494" s="1" t="s">
        <v>1462</v>
      </c>
    </row>
    <row r="495" spans="1:3" x14ac:dyDescent="0.25">
      <c r="A495" s="1" t="s">
        <v>1463</v>
      </c>
      <c r="B495" s="1" t="s">
        <v>1464</v>
      </c>
      <c r="C495" s="1" t="s">
        <v>1465</v>
      </c>
    </row>
    <row r="496" spans="1:3" x14ac:dyDescent="0.25">
      <c r="A496" s="1" t="s">
        <v>1466</v>
      </c>
      <c r="B496" s="1" t="s">
        <v>1467</v>
      </c>
      <c r="C496" s="1" t="s">
        <v>1468</v>
      </c>
    </row>
    <row r="497" spans="1:3" x14ac:dyDescent="0.25">
      <c r="A497" s="1" t="s">
        <v>1469</v>
      </c>
      <c r="B497" s="1" t="s">
        <v>1470</v>
      </c>
      <c r="C497" s="1" t="s">
        <v>1471</v>
      </c>
    </row>
    <row r="498" spans="1:3" x14ac:dyDescent="0.25">
      <c r="A498" s="1" t="s">
        <v>1472</v>
      </c>
      <c r="B498" s="1" t="s">
        <v>1437</v>
      </c>
      <c r="C498" s="1" t="s">
        <v>1473</v>
      </c>
    </row>
    <row r="499" spans="1:3" x14ac:dyDescent="0.25">
      <c r="A499" s="1" t="s">
        <v>1474</v>
      </c>
      <c r="B499" s="1" t="s">
        <v>1475</v>
      </c>
      <c r="C499" s="1" t="s">
        <v>1476</v>
      </c>
    </row>
    <row r="500" spans="1:3" x14ac:dyDescent="0.25">
      <c r="A500" s="1" t="s">
        <v>1477</v>
      </c>
      <c r="B500" s="1" t="s">
        <v>1478</v>
      </c>
      <c r="C500" s="1" t="s">
        <v>1479</v>
      </c>
    </row>
    <row r="501" spans="1:3" x14ac:dyDescent="0.25">
      <c r="A501" s="1" t="s">
        <v>1480</v>
      </c>
      <c r="B501" s="1" t="s">
        <v>1481</v>
      </c>
      <c r="C501" s="1" t="s">
        <v>1482</v>
      </c>
    </row>
    <row r="502" spans="1:3" x14ac:dyDescent="0.25">
      <c r="A502" s="1" t="s">
        <v>1483</v>
      </c>
      <c r="B502" s="1" t="s">
        <v>1484</v>
      </c>
      <c r="C502" s="1" t="s">
        <v>1485</v>
      </c>
    </row>
    <row r="503" spans="1:3" x14ac:dyDescent="0.25">
      <c r="A503" s="1" t="s">
        <v>1486</v>
      </c>
      <c r="B503" s="1" t="s">
        <v>1487</v>
      </c>
      <c r="C503" s="1" t="s">
        <v>1488</v>
      </c>
    </row>
    <row r="504" spans="1:3" x14ac:dyDescent="0.25">
      <c r="A504" s="1" t="s">
        <v>1489</v>
      </c>
      <c r="B504" s="1" t="s">
        <v>1437</v>
      </c>
      <c r="C504" s="1" t="s">
        <v>1490</v>
      </c>
    </row>
    <row r="505" spans="1:3" x14ac:dyDescent="0.25">
      <c r="A505" s="1" t="s">
        <v>1491</v>
      </c>
      <c r="B505" s="1" t="s">
        <v>1407</v>
      </c>
      <c r="C505" s="1" t="s">
        <v>1408</v>
      </c>
    </row>
    <row r="506" spans="1:3" x14ac:dyDescent="0.25">
      <c r="A506" s="1" t="s">
        <v>1492</v>
      </c>
      <c r="B506" s="1" t="s">
        <v>1493</v>
      </c>
      <c r="C506" s="1" t="s">
        <v>1494</v>
      </c>
    </row>
    <row r="507" spans="1:3" x14ac:dyDescent="0.25">
      <c r="A507" s="1" t="s">
        <v>1495</v>
      </c>
      <c r="B507" s="1" t="s">
        <v>1496</v>
      </c>
      <c r="C507" s="1" t="s">
        <v>1497</v>
      </c>
    </row>
    <row r="508" spans="1:3" x14ac:dyDescent="0.25">
      <c r="A508" s="1" t="s">
        <v>1498</v>
      </c>
      <c r="B508" s="1" t="s">
        <v>1499</v>
      </c>
      <c r="C508" s="1" t="s">
        <v>1500</v>
      </c>
    </row>
    <row r="509" spans="1:3" x14ac:dyDescent="0.25">
      <c r="A509" s="1" t="s">
        <v>1501</v>
      </c>
      <c r="B509" s="1" t="s">
        <v>1502</v>
      </c>
      <c r="C509" s="1" t="s">
        <v>1503</v>
      </c>
    </row>
    <row r="510" spans="1:3" x14ac:dyDescent="0.25">
      <c r="A510" s="1" t="s">
        <v>1504</v>
      </c>
      <c r="B510" s="1" t="s">
        <v>1505</v>
      </c>
      <c r="C510" s="1" t="s">
        <v>1506</v>
      </c>
    </row>
    <row r="511" spans="1:3" x14ac:dyDescent="0.25">
      <c r="A511" s="1" t="s">
        <v>1507</v>
      </c>
      <c r="B511" s="1" t="s">
        <v>1437</v>
      </c>
      <c r="C511" s="1" t="s">
        <v>1508</v>
      </c>
    </row>
    <row r="512" spans="1:3" x14ac:dyDescent="0.25">
      <c r="A512" s="1" t="s">
        <v>1509</v>
      </c>
      <c r="B512" s="1" t="s">
        <v>1510</v>
      </c>
      <c r="C512" s="1" t="s">
        <v>1511</v>
      </c>
    </row>
    <row r="513" spans="1:3" x14ac:dyDescent="0.25">
      <c r="A513" s="1" t="s">
        <v>1512</v>
      </c>
      <c r="B513" s="1" t="s">
        <v>1513</v>
      </c>
      <c r="C513" s="1" t="s">
        <v>1514</v>
      </c>
    </row>
    <row r="514" spans="1:3" x14ac:dyDescent="0.25">
      <c r="A514" s="1" t="s">
        <v>1515</v>
      </c>
      <c r="B514" s="1" t="s">
        <v>1516</v>
      </c>
      <c r="C514" s="1" t="s">
        <v>1517</v>
      </c>
    </row>
    <row r="515" spans="1:3" x14ac:dyDescent="0.25">
      <c r="A515" s="1" t="s">
        <v>1518</v>
      </c>
      <c r="B515" s="1" t="s">
        <v>1437</v>
      </c>
      <c r="C515" s="1" t="s">
        <v>1519</v>
      </c>
    </row>
    <row r="516" spans="1:3" x14ac:dyDescent="0.25">
      <c r="A516" s="1" t="s">
        <v>1520</v>
      </c>
      <c r="B516" s="1" t="s">
        <v>1521</v>
      </c>
      <c r="C516" s="1" t="s">
        <v>1522</v>
      </c>
    </row>
    <row r="517" spans="1:3" x14ac:dyDescent="0.25">
      <c r="A517" s="1" t="s">
        <v>1523</v>
      </c>
      <c r="B517" s="1" t="s">
        <v>1437</v>
      </c>
      <c r="C517" s="1" t="s">
        <v>1524</v>
      </c>
    </row>
    <row r="518" spans="1:3" x14ac:dyDescent="0.25">
      <c r="A518" s="1" t="s">
        <v>1525</v>
      </c>
      <c r="B518" s="1" t="s">
        <v>1526</v>
      </c>
      <c r="C518" s="1" t="s">
        <v>1527</v>
      </c>
    </row>
    <row r="519" spans="1:3" x14ac:dyDescent="0.25">
      <c r="A519" s="1" t="s">
        <v>1528</v>
      </c>
      <c r="B519" s="1" t="s">
        <v>1529</v>
      </c>
      <c r="C519" s="1" t="s">
        <v>1530</v>
      </c>
    </row>
    <row r="520" spans="1:3" x14ac:dyDescent="0.25">
      <c r="A520" s="1" t="s">
        <v>1531</v>
      </c>
      <c r="B520" s="1" t="s">
        <v>1532</v>
      </c>
      <c r="C520" s="1" t="s">
        <v>1530</v>
      </c>
    </row>
    <row r="521" spans="1:3" x14ac:dyDescent="0.25">
      <c r="A521" s="1" t="s">
        <v>1533</v>
      </c>
      <c r="B521" s="1" t="s">
        <v>1534</v>
      </c>
      <c r="C521" s="1" t="s">
        <v>1535</v>
      </c>
    </row>
    <row r="522" spans="1:3" x14ac:dyDescent="0.25">
      <c r="A522" s="1" t="s">
        <v>1536</v>
      </c>
      <c r="B522" s="1" t="s">
        <v>1537</v>
      </c>
      <c r="C522" s="1" t="s">
        <v>1538</v>
      </c>
    </row>
    <row r="523" spans="1:3" x14ac:dyDescent="0.25">
      <c r="A523" s="1" t="s">
        <v>1539</v>
      </c>
      <c r="B523" s="1" t="s">
        <v>1540</v>
      </c>
      <c r="C523" s="1" t="s">
        <v>1541</v>
      </c>
    </row>
    <row r="524" spans="1:3" x14ac:dyDescent="0.25">
      <c r="A524" s="1" t="s">
        <v>1542</v>
      </c>
      <c r="B524" s="1" t="s">
        <v>1437</v>
      </c>
      <c r="C524" s="1" t="s">
        <v>1543</v>
      </c>
    </row>
    <row r="525" spans="1:3" x14ac:dyDescent="0.25">
      <c r="A525" s="1" t="s">
        <v>1544</v>
      </c>
      <c r="B525" s="1" t="s">
        <v>1545</v>
      </c>
      <c r="C525" s="1" t="s">
        <v>1546</v>
      </c>
    </row>
    <row r="526" spans="1:3" x14ac:dyDescent="0.25">
      <c r="A526" s="1" t="s">
        <v>1547</v>
      </c>
      <c r="B526" s="1" t="s">
        <v>1513</v>
      </c>
      <c r="C526" s="1" t="s">
        <v>1514</v>
      </c>
    </row>
    <row r="527" spans="1:3" x14ac:dyDescent="0.25">
      <c r="A527" s="1" t="s">
        <v>1548</v>
      </c>
      <c r="B527" s="1" t="s">
        <v>1437</v>
      </c>
      <c r="C527" s="1" t="s">
        <v>1549</v>
      </c>
    </row>
    <row r="528" spans="1:3" x14ac:dyDescent="0.25">
      <c r="A528" s="1" t="s">
        <v>1550</v>
      </c>
      <c r="B528" s="1" t="s">
        <v>1499</v>
      </c>
      <c r="C528" s="1" t="s">
        <v>1551</v>
      </c>
    </row>
    <row r="529" spans="1:3" x14ac:dyDescent="0.25">
      <c r="A529" s="1" t="s">
        <v>1552</v>
      </c>
      <c r="B529" s="1" t="s">
        <v>1553</v>
      </c>
      <c r="C529" s="1" t="s">
        <v>1554</v>
      </c>
    </row>
    <row r="530" spans="1:3" x14ac:dyDescent="0.25">
      <c r="A530" s="1" t="s">
        <v>1555</v>
      </c>
      <c r="B530" s="1" t="s">
        <v>1556</v>
      </c>
      <c r="C530" s="1" t="s">
        <v>1557</v>
      </c>
    </row>
    <row r="531" spans="1:3" x14ac:dyDescent="0.25">
      <c r="A531" s="1" t="s">
        <v>1558</v>
      </c>
      <c r="B531" s="1" t="s">
        <v>1559</v>
      </c>
      <c r="C531" s="1" t="s">
        <v>1560</v>
      </c>
    </row>
    <row r="532" spans="1:3" x14ac:dyDescent="0.25">
      <c r="A532" s="1" t="s">
        <v>1561</v>
      </c>
      <c r="B532" s="1" t="s">
        <v>1562</v>
      </c>
      <c r="C532" s="1" t="s">
        <v>1563</v>
      </c>
    </row>
    <row r="533" spans="1:3" x14ac:dyDescent="0.25">
      <c r="A533" s="1" t="s">
        <v>1564</v>
      </c>
      <c r="B533" s="1" t="s">
        <v>1532</v>
      </c>
      <c r="C533" s="1" t="s">
        <v>1565</v>
      </c>
    </row>
    <row r="534" spans="1:3" x14ac:dyDescent="0.25">
      <c r="A534" s="1" t="s">
        <v>1566</v>
      </c>
      <c r="B534" s="1" t="s">
        <v>1567</v>
      </c>
      <c r="C534" s="1" t="s">
        <v>1568</v>
      </c>
    </row>
    <row r="535" spans="1:3" x14ac:dyDescent="0.25">
      <c r="A535" s="1" t="s">
        <v>1569</v>
      </c>
      <c r="B535" s="1" t="s">
        <v>1570</v>
      </c>
      <c r="C535" s="1" t="s">
        <v>1571</v>
      </c>
    </row>
    <row r="536" spans="1:3" x14ac:dyDescent="0.25">
      <c r="A536" s="1" t="s">
        <v>1572</v>
      </c>
      <c r="B536" s="1" t="s">
        <v>1437</v>
      </c>
      <c r="C536" s="1" t="s">
        <v>1573</v>
      </c>
    </row>
    <row r="537" spans="1:3" x14ac:dyDescent="0.25">
      <c r="A537" s="1" t="s">
        <v>1574</v>
      </c>
      <c r="B537" s="1" t="s">
        <v>1575</v>
      </c>
      <c r="C537" s="1" t="s">
        <v>1576</v>
      </c>
    </row>
    <row r="538" spans="1:3" x14ac:dyDescent="0.25">
      <c r="A538" s="1" t="s">
        <v>1577</v>
      </c>
      <c r="B538" s="1" t="s">
        <v>1578</v>
      </c>
      <c r="C538" s="1" t="s">
        <v>1579</v>
      </c>
    </row>
    <row r="539" spans="1:3" x14ac:dyDescent="0.25">
      <c r="A539" s="1" t="s">
        <v>1580</v>
      </c>
      <c r="B539" s="1" t="s">
        <v>1581</v>
      </c>
      <c r="C539" s="1" t="s">
        <v>1582</v>
      </c>
    </row>
    <row r="540" spans="1:3" x14ac:dyDescent="0.25">
      <c r="A540" s="1" t="s">
        <v>1583</v>
      </c>
      <c r="B540" s="1" t="s">
        <v>1584</v>
      </c>
      <c r="C540" s="1" t="s">
        <v>1585</v>
      </c>
    </row>
    <row r="541" spans="1:3" x14ac:dyDescent="0.25">
      <c r="A541" s="1" t="s">
        <v>1586</v>
      </c>
      <c r="B541" s="1" t="s">
        <v>1437</v>
      </c>
      <c r="C541" s="1" t="s">
        <v>1587</v>
      </c>
    </row>
    <row r="542" spans="1:3" x14ac:dyDescent="0.25">
      <c r="A542" s="1" t="s">
        <v>1588</v>
      </c>
      <c r="B542" s="1" t="s">
        <v>1575</v>
      </c>
      <c r="C542" s="1" t="s">
        <v>1589</v>
      </c>
    </row>
    <row r="543" spans="1:3" x14ac:dyDescent="0.25">
      <c r="A543" s="1" t="s">
        <v>1590</v>
      </c>
      <c r="B543" s="1" t="s">
        <v>1591</v>
      </c>
      <c r="C543" s="1" t="s">
        <v>1592</v>
      </c>
    </row>
    <row r="544" spans="1:3" x14ac:dyDescent="0.25">
      <c r="A544" s="1" t="s">
        <v>1593</v>
      </c>
      <c r="B544" s="1" t="s">
        <v>1594</v>
      </c>
      <c r="C544" s="1" t="s">
        <v>1595</v>
      </c>
    </row>
    <row r="545" spans="1:3" x14ac:dyDescent="0.25">
      <c r="A545" s="1" t="s">
        <v>1596</v>
      </c>
      <c r="B545" s="1" t="s">
        <v>1597</v>
      </c>
      <c r="C545" s="1" t="s">
        <v>1598</v>
      </c>
    </row>
    <row r="546" spans="1:3" x14ac:dyDescent="0.25">
      <c r="A546" s="1" t="s">
        <v>1370</v>
      </c>
      <c r="B546" s="1" t="s">
        <v>1371</v>
      </c>
      <c r="C546" s="1" t="s">
        <v>1372</v>
      </c>
    </row>
    <row r="547" spans="1:3" x14ac:dyDescent="0.25">
      <c r="A547" s="1" t="s">
        <v>1373</v>
      </c>
      <c r="B547" s="1" t="s">
        <v>1374</v>
      </c>
      <c r="C547" s="1" t="s">
        <v>1375</v>
      </c>
    </row>
    <row r="548" spans="1:3" x14ac:dyDescent="0.25">
      <c r="A548" s="1" t="s">
        <v>1376</v>
      </c>
      <c r="B548" s="1" t="s">
        <v>1377</v>
      </c>
      <c r="C548" s="1" t="s">
        <v>1378</v>
      </c>
    </row>
    <row r="549" spans="1:3" x14ac:dyDescent="0.25">
      <c r="A549" s="1" t="s">
        <v>1379</v>
      </c>
      <c r="B549" s="1" t="s">
        <v>1380</v>
      </c>
      <c r="C549" s="1" t="s">
        <v>1381</v>
      </c>
    </row>
    <row r="550" spans="1:3" x14ac:dyDescent="0.25">
      <c r="A550" s="1" t="s">
        <v>1382</v>
      </c>
      <c r="B550" s="1" t="s">
        <v>1383</v>
      </c>
      <c r="C550" s="1" t="s">
        <v>1384</v>
      </c>
    </row>
    <row r="551" spans="1:3" x14ac:dyDescent="0.25">
      <c r="A551" s="1" t="s">
        <v>1385</v>
      </c>
      <c r="B551" s="1" t="s">
        <v>1386</v>
      </c>
      <c r="C551" s="1" t="s">
        <v>1387</v>
      </c>
    </row>
    <row r="552" spans="1:3" x14ac:dyDescent="0.25">
      <c r="A552" s="1" t="s">
        <v>1388</v>
      </c>
      <c r="B552" s="1" t="s">
        <v>1389</v>
      </c>
      <c r="C552" s="1" t="s">
        <v>1390</v>
      </c>
    </row>
    <row r="553" spans="1:3" x14ac:dyDescent="0.25">
      <c r="A553" s="1" t="s">
        <v>1391</v>
      </c>
      <c r="B553" s="1" t="s">
        <v>1392</v>
      </c>
      <c r="C553" s="1" t="s">
        <v>1393</v>
      </c>
    </row>
    <row r="554" spans="1:3" x14ac:dyDescent="0.25">
      <c r="A554" s="1" t="s">
        <v>1394</v>
      </c>
      <c r="B554" s="1" t="s">
        <v>1395</v>
      </c>
      <c r="C554" s="1" t="s">
        <v>1396</v>
      </c>
    </row>
    <row r="555" spans="1:3" x14ac:dyDescent="0.25">
      <c r="A555" s="1" t="s">
        <v>1397</v>
      </c>
      <c r="B555" s="1" t="s">
        <v>1398</v>
      </c>
      <c r="C555" s="1" t="s">
        <v>1399</v>
      </c>
    </row>
    <row r="556" spans="1:3" x14ac:dyDescent="0.25">
      <c r="A556" s="1" t="s">
        <v>1400</v>
      </c>
      <c r="B556" s="1" t="s">
        <v>1401</v>
      </c>
      <c r="C556" s="1" t="s">
        <v>1402</v>
      </c>
    </row>
    <row r="557" spans="1:3" x14ac:dyDescent="0.25">
      <c r="A557" s="1" t="s">
        <v>1403</v>
      </c>
      <c r="B557" s="1" t="s">
        <v>1404</v>
      </c>
      <c r="C557" s="1" t="s">
        <v>1405</v>
      </c>
    </row>
    <row r="558" spans="1:3" x14ac:dyDescent="0.25">
      <c r="A558" s="1" t="s">
        <v>1406</v>
      </c>
      <c r="B558" s="1" t="s">
        <v>1407</v>
      </c>
      <c r="C558" s="1" t="s">
        <v>1408</v>
      </c>
    </row>
    <row r="559" spans="1:3" x14ac:dyDescent="0.25">
      <c r="A559" s="1" t="s">
        <v>1409</v>
      </c>
      <c r="B559" s="1" t="s">
        <v>1410</v>
      </c>
      <c r="C559" s="1" t="s">
        <v>1411</v>
      </c>
    </row>
    <row r="560" spans="1:3" x14ac:dyDescent="0.25">
      <c r="A560" s="1" t="s">
        <v>1412</v>
      </c>
      <c r="B560" s="1" t="s">
        <v>1404</v>
      </c>
      <c r="C560" s="1" t="s">
        <v>1405</v>
      </c>
    </row>
    <row r="561" spans="1:3" x14ac:dyDescent="0.25">
      <c r="A561" s="1" t="s">
        <v>1413</v>
      </c>
      <c r="B561" s="1" t="s">
        <v>1414</v>
      </c>
      <c r="C561" s="1" t="s">
        <v>1415</v>
      </c>
    </row>
    <row r="562" spans="1:3" x14ac:dyDescent="0.25">
      <c r="A562" s="1" t="s">
        <v>1416</v>
      </c>
      <c r="B562" s="1" t="s">
        <v>1417</v>
      </c>
      <c r="C562" s="1" t="s">
        <v>1418</v>
      </c>
    </row>
    <row r="563" spans="1:3" x14ac:dyDescent="0.25">
      <c r="A563" s="1" t="s">
        <v>1419</v>
      </c>
      <c r="B563" s="1" t="s">
        <v>1420</v>
      </c>
      <c r="C563" s="1" t="s">
        <v>1421</v>
      </c>
    </row>
    <row r="564" spans="1:3" x14ac:dyDescent="0.25">
      <c r="A564" s="1" t="s">
        <v>1422</v>
      </c>
      <c r="B564" s="1" t="s">
        <v>1423</v>
      </c>
      <c r="C564" s="1" t="s">
        <v>1424</v>
      </c>
    </row>
    <row r="565" spans="1:3" x14ac:dyDescent="0.25">
      <c r="A565" s="1" t="s">
        <v>1425</v>
      </c>
      <c r="B565" s="1" t="s">
        <v>1339</v>
      </c>
      <c r="C565" s="1" t="s">
        <v>1426</v>
      </c>
    </row>
    <row r="566" spans="1:3" x14ac:dyDescent="0.25">
      <c r="A566" s="1" t="s">
        <v>1427</v>
      </c>
      <c r="B566" s="1" t="s">
        <v>1428</v>
      </c>
      <c r="C566" s="1" t="s">
        <v>1429</v>
      </c>
    </row>
    <row r="567" spans="1:3" x14ac:dyDescent="0.25">
      <c r="A567" s="1" t="s">
        <v>1430</v>
      </c>
      <c r="B567" s="1" t="s">
        <v>1431</v>
      </c>
      <c r="C567" s="1" t="s">
        <v>1432</v>
      </c>
    </row>
    <row r="568" spans="1:3" x14ac:dyDescent="0.25">
      <c r="A568" s="1" t="s">
        <v>1433</v>
      </c>
      <c r="B568" s="1" t="s">
        <v>1434</v>
      </c>
      <c r="C568" s="1" t="s">
        <v>1435</v>
      </c>
    </row>
    <row r="569" spans="1:3" x14ac:dyDescent="0.25">
      <c r="A569" s="1" t="s">
        <v>1436</v>
      </c>
      <c r="B569" s="1" t="s">
        <v>1437</v>
      </c>
      <c r="C569" s="1" t="s">
        <v>1438</v>
      </c>
    </row>
    <row r="570" spans="1:3" x14ac:dyDescent="0.25">
      <c r="A570" s="1" t="s">
        <v>1439</v>
      </c>
      <c r="B570" s="1" t="s">
        <v>1440</v>
      </c>
      <c r="C570" s="1" t="s">
        <v>1441</v>
      </c>
    </row>
    <row r="571" spans="1:3" x14ac:dyDescent="0.25">
      <c r="A571" s="1" t="s">
        <v>1442</v>
      </c>
      <c r="B571" s="1" t="s">
        <v>1443</v>
      </c>
      <c r="C571" s="1" t="s">
        <v>1444</v>
      </c>
    </row>
    <row r="572" spans="1:3" x14ac:dyDescent="0.25">
      <c r="A572" s="1" t="s">
        <v>1445</v>
      </c>
      <c r="B572" s="1" t="s">
        <v>1446</v>
      </c>
      <c r="C572" s="1" t="s">
        <v>1447</v>
      </c>
    </row>
    <row r="573" spans="1:3" x14ac:dyDescent="0.25">
      <c r="A573" s="1" t="s">
        <v>1448</v>
      </c>
      <c r="B573" s="1" t="s">
        <v>1449</v>
      </c>
      <c r="C573" s="1" t="s">
        <v>1450</v>
      </c>
    </row>
    <row r="574" spans="1:3" x14ac:dyDescent="0.25">
      <c r="A574" s="1" t="s">
        <v>1451</v>
      </c>
      <c r="B574" s="1" t="s">
        <v>1452</v>
      </c>
      <c r="C574" s="1" t="s">
        <v>1453</v>
      </c>
    </row>
    <row r="575" spans="1:3" x14ac:dyDescent="0.25">
      <c r="A575" s="1" t="s">
        <v>1454</v>
      </c>
      <c r="B575" s="1" t="s">
        <v>1455</v>
      </c>
      <c r="C575" s="1" t="s">
        <v>1456</v>
      </c>
    </row>
    <row r="576" spans="1:3" x14ac:dyDescent="0.25">
      <c r="A576" s="1" t="s">
        <v>1457</v>
      </c>
      <c r="B576" s="1" t="s">
        <v>1458</v>
      </c>
      <c r="C576" s="1" t="s">
        <v>1459</v>
      </c>
    </row>
    <row r="577" spans="1:3" x14ac:dyDescent="0.25">
      <c r="A577" s="1" t="s">
        <v>1460</v>
      </c>
      <c r="B577" s="1" t="s">
        <v>1461</v>
      </c>
      <c r="C577" s="1" t="s">
        <v>1462</v>
      </c>
    </row>
    <row r="578" spans="1:3" x14ac:dyDescent="0.25">
      <c r="A578" s="1" t="s">
        <v>1463</v>
      </c>
      <c r="B578" s="1" t="s">
        <v>1464</v>
      </c>
      <c r="C578" s="1" t="s">
        <v>1465</v>
      </c>
    </row>
    <row r="579" spans="1:3" x14ac:dyDescent="0.25">
      <c r="A579" s="1" t="s">
        <v>1466</v>
      </c>
      <c r="B579" s="1" t="s">
        <v>1467</v>
      </c>
      <c r="C579" s="1" t="s">
        <v>1468</v>
      </c>
    </row>
    <row r="580" spans="1:3" x14ac:dyDescent="0.25">
      <c r="A580" s="1" t="s">
        <v>1469</v>
      </c>
      <c r="B580" s="1" t="s">
        <v>1470</v>
      </c>
      <c r="C580" s="1" t="s">
        <v>1471</v>
      </c>
    </row>
    <row r="581" spans="1:3" x14ac:dyDescent="0.25">
      <c r="A581" s="1" t="s">
        <v>1472</v>
      </c>
      <c r="B581" s="1" t="s">
        <v>1437</v>
      </c>
      <c r="C581" s="1" t="s">
        <v>1473</v>
      </c>
    </row>
    <row r="582" spans="1:3" x14ac:dyDescent="0.25">
      <c r="A582" s="1" t="s">
        <v>1474</v>
      </c>
      <c r="B582" s="1" t="s">
        <v>1475</v>
      </c>
      <c r="C582" s="1" t="s">
        <v>1476</v>
      </c>
    </row>
    <row r="583" spans="1:3" x14ac:dyDescent="0.25">
      <c r="A583" s="1" t="s">
        <v>1477</v>
      </c>
      <c r="B583" s="1" t="s">
        <v>1478</v>
      </c>
      <c r="C583" s="1" t="s">
        <v>1479</v>
      </c>
    </row>
    <row r="584" spans="1:3" x14ac:dyDescent="0.25">
      <c r="A584" s="1" t="s">
        <v>1480</v>
      </c>
      <c r="B584" s="1" t="s">
        <v>1481</v>
      </c>
      <c r="C584" s="1" t="s">
        <v>1482</v>
      </c>
    </row>
    <row r="585" spans="1:3" x14ac:dyDescent="0.25">
      <c r="A585" s="1" t="s">
        <v>1483</v>
      </c>
      <c r="B585" s="1" t="s">
        <v>1484</v>
      </c>
      <c r="C585" s="1" t="s">
        <v>1485</v>
      </c>
    </row>
    <row r="586" spans="1:3" x14ac:dyDescent="0.25">
      <c r="A586" s="1" t="s">
        <v>1486</v>
      </c>
      <c r="B586" s="1" t="s">
        <v>1487</v>
      </c>
      <c r="C586" s="1" t="s">
        <v>1488</v>
      </c>
    </row>
    <row r="587" spans="1:3" x14ac:dyDescent="0.25">
      <c r="A587" s="1" t="s">
        <v>1489</v>
      </c>
      <c r="B587" s="1" t="s">
        <v>1437</v>
      </c>
      <c r="C587" s="1" t="s">
        <v>1490</v>
      </c>
    </row>
    <row r="588" spans="1:3" x14ac:dyDescent="0.25">
      <c r="A588" s="1" t="s">
        <v>1491</v>
      </c>
      <c r="B588" s="1" t="s">
        <v>1407</v>
      </c>
      <c r="C588" s="1" t="s">
        <v>1408</v>
      </c>
    </row>
    <row r="589" spans="1:3" x14ac:dyDescent="0.25">
      <c r="A589" s="1" t="s">
        <v>1492</v>
      </c>
      <c r="B589" s="1" t="s">
        <v>1493</v>
      </c>
      <c r="C589" s="1" t="s">
        <v>1494</v>
      </c>
    </row>
    <row r="590" spans="1:3" x14ac:dyDescent="0.25">
      <c r="A590" s="1" t="s">
        <v>1495</v>
      </c>
      <c r="B590" s="1" t="s">
        <v>1496</v>
      </c>
      <c r="C590" s="1" t="s">
        <v>1497</v>
      </c>
    </row>
    <row r="591" spans="1:3" x14ac:dyDescent="0.25">
      <c r="A591" s="1" t="s">
        <v>1498</v>
      </c>
      <c r="B591" s="1" t="s">
        <v>1499</v>
      </c>
      <c r="C591" s="1" t="s">
        <v>1500</v>
      </c>
    </row>
    <row r="592" spans="1:3" x14ac:dyDescent="0.25">
      <c r="A592" s="1" t="s">
        <v>1501</v>
      </c>
      <c r="B592" s="1" t="s">
        <v>1502</v>
      </c>
      <c r="C592" s="1" t="s">
        <v>1503</v>
      </c>
    </row>
    <row r="593" spans="1:3" x14ac:dyDescent="0.25">
      <c r="A593" s="1" t="s">
        <v>1504</v>
      </c>
      <c r="B593" s="1" t="s">
        <v>1505</v>
      </c>
      <c r="C593" s="1" t="s">
        <v>1506</v>
      </c>
    </row>
    <row r="594" spans="1:3" x14ac:dyDescent="0.25">
      <c r="A594" s="1" t="s">
        <v>1507</v>
      </c>
      <c r="B594" s="1" t="s">
        <v>1437</v>
      </c>
      <c r="C594" s="1" t="s">
        <v>1508</v>
      </c>
    </row>
    <row r="595" spans="1:3" x14ac:dyDescent="0.25">
      <c r="A595" s="1" t="s">
        <v>1509</v>
      </c>
      <c r="B595" s="1" t="s">
        <v>1510</v>
      </c>
      <c r="C595" s="1" t="s">
        <v>1511</v>
      </c>
    </row>
    <row r="596" spans="1:3" x14ac:dyDescent="0.25">
      <c r="A596" s="1" t="s">
        <v>1512</v>
      </c>
      <c r="B596" s="1" t="s">
        <v>1513</v>
      </c>
      <c r="C596" s="1" t="s">
        <v>1514</v>
      </c>
    </row>
    <row r="597" spans="1:3" x14ac:dyDescent="0.25">
      <c r="A597" s="1" t="s">
        <v>1515</v>
      </c>
      <c r="B597" s="1" t="s">
        <v>1516</v>
      </c>
      <c r="C597" s="1" t="s">
        <v>1517</v>
      </c>
    </row>
    <row r="598" spans="1:3" x14ac:dyDescent="0.25">
      <c r="A598" s="1" t="s">
        <v>1518</v>
      </c>
      <c r="B598" s="1" t="s">
        <v>1437</v>
      </c>
      <c r="C598" s="1" t="s">
        <v>1519</v>
      </c>
    </row>
    <row r="599" spans="1:3" x14ac:dyDescent="0.25">
      <c r="A599" s="1" t="s">
        <v>1520</v>
      </c>
      <c r="B599" s="1" t="s">
        <v>1521</v>
      </c>
      <c r="C599" s="1" t="s">
        <v>1522</v>
      </c>
    </row>
    <row r="600" spans="1:3" x14ac:dyDescent="0.25">
      <c r="A600" s="1" t="s">
        <v>1523</v>
      </c>
      <c r="B600" s="1" t="s">
        <v>1437</v>
      </c>
      <c r="C600" s="1" t="s">
        <v>1524</v>
      </c>
    </row>
    <row r="601" spans="1:3" x14ac:dyDescent="0.25">
      <c r="A601" s="1" t="s">
        <v>1525</v>
      </c>
      <c r="B601" s="1" t="s">
        <v>1526</v>
      </c>
      <c r="C601" s="1" t="s">
        <v>1527</v>
      </c>
    </row>
    <row r="602" spans="1:3" x14ac:dyDescent="0.25">
      <c r="A602" s="1" t="s">
        <v>1528</v>
      </c>
      <c r="B602" s="1" t="s">
        <v>1529</v>
      </c>
      <c r="C602" s="1" t="s">
        <v>1530</v>
      </c>
    </row>
    <row r="603" spans="1:3" x14ac:dyDescent="0.25">
      <c r="A603" s="1" t="s">
        <v>1531</v>
      </c>
      <c r="B603" s="1" t="s">
        <v>1532</v>
      </c>
      <c r="C603" s="1" t="s">
        <v>1530</v>
      </c>
    </row>
    <row r="604" spans="1:3" x14ac:dyDescent="0.25">
      <c r="A604" s="1" t="s">
        <v>1533</v>
      </c>
      <c r="B604" s="1" t="s">
        <v>1534</v>
      </c>
      <c r="C604" s="1" t="s">
        <v>1535</v>
      </c>
    </row>
    <row r="605" spans="1:3" x14ac:dyDescent="0.25">
      <c r="A605" s="1" t="s">
        <v>1536</v>
      </c>
      <c r="B605" s="1" t="s">
        <v>1537</v>
      </c>
      <c r="C605" s="1" t="s">
        <v>1538</v>
      </c>
    </row>
    <row r="606" spans="1:3" x14ac:dyDescent="0.25">
      <c r="A606" s="1" t="s">
        <v>1539</v>
      </c>
      <c r="B606" s="1" t="s">
        <v>1540</v>
      </c>
      <c r="C606" s="1" t="s">
        <v>1541</v>
      </c>
    </row>
    <row r="607" spans="1:3" x14ac:dyDescent="0.25">
      <c r="A607" s="1" t="s">
        <v>1542</v>
      </c>
      <c r="B607" s="1" t="s">
        <v>1437</v>
      </c>
      <c r="C607" s="1" t="s">
        <v>1543</v>
      </c>
    </row>
    <row r="608" spans="1:3" x14ac:dyDescent="0.25">
      <c r="A608" s="1" t="s">
        <v>1544</v>
      </c>
      <c r="B608" s="1" t="s">
        <v>1545</v>
      </c>
      <c r="C608" s="1" t="s">
        <v>1546</v>
      </c>
    </row>
    <row r="609" spans="1:3" x14ac:dyDescent="0.25">
      <c r="A609" s="1" t="s">
        <v>1547</v>
      </c>
      <c r="B609" s="1" t="s">
        <v>1513</v>
      </c>
      <c r="C609" s="1" t="s">
        <v>1514</v>
      </c>
    </row>
    <row r="610" spans="1:3" x14ac:dyDescent="0.25">
      <c r="A610" s="1" t="s">
        <v>1548</v>
      </c>
      <c r="B610" s="1" t="s">
        <v>1437</v>
      </c>
      <c r="C610" s="1" t="s">
        <v>1549</v>
      </c>
    </row>
    <row r="611" spans="1:3" x14ac:dyDescent="0.25">
      <c r="A611" s="1" t="s">
        <v>1550</v>
      </c>
      <c r="B611" s="1" t="s">
        <v>1499</v>
      </c>
      <c r="C611" s="1" t="s">
        <v>1551</v>
      </c>
    </row>
    <row r="612" spans="1:3" x14ac:dyDescent="0.25">
      <c r="A612" s="1" t="s">
        <v>1552</v>
      </c>
      <c r="B612" s="1" t="s">
        <v>1553</v>
      </c>
      <c r="C612" s="1" t="s">
        <v>1554</v>
      </c>
    </row>
    <row r="613" spans="1:3" x14ac:dyDescent="0.25">
      <c r="A613" s="1" t="s">
        <v>1555</v>
      </c>
      <c r="B613" s="1" t="s">
        <v>1556</v>
      </c>
      <c r="C613" s="1" t="s">
        <v>1557</v>
      </c>
    </row>
    <row r="614" spans="1:3" x14ac:dyDescent="0.25">
      <c r="A614" s="1" t="s">
        <v>1558</v>
      </c>
      <c r="B614" s="1" t="s">
        <v>1559</v>
      </c>
      <c r="C614" s="1" t="s">
        <v>1560</v>
      </c>
    </row>
    <row r="615" spans="1:3" x14ac:dyDescent="0.25">
      <c r="A615" s="1" t="s">
        <v>1561</v>
      </c>
      <c r="B615" s="1" t="s">
        <v>1562</v>
      </c>
      <c r="C615" s="1" t="s">
        <v>1563</v>
      </c>
    </row>
    <row r="616" spans="1:3" x14ac:dyDescent="0.25">
      <c r="A616" s="1" t="s">
        <v>1564</v>
      </c>
      <c r="B616" s="1" t="s">
        <v>1532</v>
      </c>
      <c r="C616" s="1" t="s">
        <v>1565</v>
      </c>
    </row>
    <row r="617" spans="1:3" x14ac:dyDescent="0.25">
      <c r="A617" s="1" t="s">
        <v>1566</v>
      </c>
      <c r="B617" s="1" t="s">
        <v>1567</v>
      </c>
      <c r="C617" s="1" t="s">
        <v>1568</v>
      </c>
    </row>
    <row r="618" spans="1:3" x14ac:dyDescent="0.25">
      <c r="A618" s="1" t="s">
        <v>1569</v>
      </c>
      <c r="B618" s="1" t="s">
        <v>1570</v>
      </c>
      <c r="C618" s="1" t="s">
        <v>1571</v>
      </c>
    </row>
    <row r="619" spans="1:3" x14ac:dyDescent="0.25">
      <c r="A619" s="1" t="s">
        <v>1572</v>
      </c>
      <c r="B619" s="1" t="s">
        <v>1437</v>
      </c>
      <c r="C619" s="1" t="s">
        <v>1573</v>
      </c>
    </row>
    <row r="620" spans="1:3" x14ac:dyDescent="0.25">
      <c r="A620" s="1" t="s">
        <v>1574</v>
      </c>
      <c r="B620" s="1" t="s">
        <v>1575</v>
      </c>
      <c r="C620" s="1" t="s">
        <v>1576</v>
      </c>
    </row>
    <row r="621" spans="1:3" x14ac:dyDescent="0.25">
      <c r="A621" s="1" t="s">
        <v>1577</v>
      </c>
      <c r="B621" s="1" t="s">
        <v>1578</v>
      </c>
      <c r="C621" s="1" t="s">
        <v>1579</v>
      </c>
    </row>
    <row r="622" spans="1:3" x14ac:dyDescent="0.25">
      <c r="A622" s="1" t="s">
        <v>1599</v>
      </c>
      <c r="B622" s="1" t="s">
        <v>1532</v>
      </c>
      <c r="C622" s="1" t="s">
        <v>1600</v>
      </c>
    </row>
    <row r="623" spans="1:3" x14ac:dyDescent="0.25">
      <c r="A623" s="1" t="s">
        <v>1580</v>
      </c>
      <c r="B623" s="1" t="s">
        <v>1581</v>
      </c>
      <c r="C623" s="1" t="s">
        <v>1582</v>
      </c>
    </row>
    <row r="624" spans="1:3" x14ac:dyDescent="0.25">
      <c r="A624" s="1" t="s">
        <v>1583</v>
      </c>
      <c r="B624" s="1" t="s">
        <v>1584</v>
      </c>
      <c r="C624" s="1" t="s">
        <v>1585</v>
      </c>
    </row>
    <row r="625" spans="1:13" x14ac:dyDescent="0.25">
      <c r="A625" s="1" t="s">
        <v>1586</v>
      </c>
      <c r="B625" s="1" t="s">
        <v>1437</v>
      </c>
      <c r="C625" s="1" t="s">
        <v>1587</v>
      </c>
    </row>
    <row r="626" spans="1:13" x14ac:dyDescent="0.25">
      <c r="A626" s="1" t="s">
        <v>1588</v>
      </c>
      <c r="B626" s="1" t="s">
        <v>1575</v>
      </c>
      <c r="C626" s="1" t="s">
        <v>1589</v>
      </c>
    </row>
    <row r="627" spans="1:13" x14ac:dyDescent="0.25">
      <c r="A627" s="1" t="s">
        <v>1590</v>
      </c>
      <c r="B627" s="1" t="s">
        <v>1591</v>
      </c>
      <c r="C627" s="1" t="s">
        <v>1592</v>
      </c>
    </row>
    <row r="628" spans="1:13" x14ac:dyDescent="0.25">
      <c r="A628" s="1" t="s">
        <v>1593</v>
      </c>
      <c r="B628" s="1" t="s">
        <v>1594</v>
      </c>
      <c r="C628" s="1" t="s">
        <v>1595</v>
      </c>
    </row>
    <row r="629" spans="1:13" x14ac:dyDescent="0.25">
      <c r="A629" s="1" t="s">
        <v>1596</v>
      </c>
      <c r="B629" s="1" t="s">
        <v>1597</v>
      </c>
      <c r="C629" s="1" t="s">
        <v>1598</v>
      </c>
    </row>
    <row r="632" spans="1:13" ht="18.75" x14ac:dyDescent="0.25">
      <c r="A632" s="46" t="s">
        <v>1601</v>
      </c>
      <c r="B632" s="46"/>
      <c r="C632" s="46"/>
      <c r="D632" s="46"/>
      <c r="E632" s="46"/>
      <c r="F632" s="46"/>
      <c r="G632" s="46"/>
      <c r="H632" s="46"/>
      <c r="I632" s="46"/>
      <c r="J632" s="46"/>
      <c r="K632" s="46"/>
      <c r="L632" s="46"/>
      <c r="M632" s="46"/>
    </row>
    <row r="633" spans="1:13" ht="15" customHeight="1" x14ac:dyDescent="0.25">
      <c r="A633" s="45" t="s">
        <v>1602</v>
      </c>
      <c r="B633" s="45"/>
      <c r="C633" s="45"/>
      <c r="D633" s="45"/>
      <c r="E633" s="45"/>
      <c r="F633" s="45"/>
      <c r="G633" s="45"/>
      <c r="H633" s="45"/>
      <c r="I633" s="45"/>
      <c r="J633" s="45"/>
      <c r="K633" s="45"/>
      <c r="L633" s="45"/>
      <c r="M633" s="45"/>
    </row>
    <row r="634" spans="1:13" x14ac:dyDescent="0.25">
      <c r="A634" s="2" t="s">
        <v>90</v>
      </c>
      <c r="B634" s="2" t="s">
        <v>1603</v>
      </c>
      <c r="C634" s="2" t="s">
        <v>1604</v>
      </c>
    </row>
    <row r="635" spans="1:13" x14ac:dyDescent="0.25">
      <c r="A635" s="2" t="s">
        <v>1605</v>
      </c>
      <c r="B635" s="2" t="s">
        <v>1606</v>
      </c>
      <c r="C635" s="2" t="s">
        <v>1607</v>
      </c>
    </row>
    <row r="636" spans="1:13" x14ac:dyDescent="0.25">
      <c r="A636" s="2" t="s">
        <v>82</v>
      </c>
      <c r="B636" s="2" t="s">
        <v>1608</v>
      </c>
      <c r="C636" s="2" t="s">
        <v>1609</v>
      </c>
    </row>
    <row r="637" spans="1:13" x14ac:dyDescent="0.25">
      <c r="A637" s="2" t="s">
        <v>1610</v>
      </c>
      <c r="B637" s="2" t="s">
        <v>1611</v>
      </c>
      <c r="C637" s="2" t="s">
        <v>1612</v>
      </c>
    </row>
    <row r="638" spans="1:13" x14ac:dyDescent="0.25">
      <c r="A638" s="2" t="s">
        <v>1613</v>
      </c>
      <c r="B638" s="2" t="s">
        <v>1614</v>
      </c>
      <c r="C638" s="2" t="s">
        <v>1615</v>
      </c>
    </row>
    <row r="639" spans="1:13" x14ac:dyDescent="0.25">
      <c r="A639" s="2" t="s">
        <v>1616</v>
      </c>
      <c r="B639" s="2" t="s">
        <v>1617</v>
      </c>
      <c r="C639" s="2" t="s">
        <v>1618</v>
      </c>
    </row>
    <row r="640" spans="1:13" x14ac:dyDescent="0.25">
      <c r="A640" s="2" t="s">
        <v>1619</v>
      </c>
      <c r="B640" s="2" t="s">
        <v>1620</v>
      </c>
      <c r="C640" s="2" t="s">
        <v>1621</v>
      </c>
    </row>
    <row r="641" spans="1:3" x14ac:dyDescent="0.25">
      <c r="A641" s="2" t="s">
        <v>1622</v>
      </c>
      <c r="B641" s="2" t="s">
        <v>1623</v>
      </c>
      <c r="C641" s="2" t="s">
        <v>1624</v>
      </c>
    </row>
    <row r="642" spans="1:3" x14ac:dyDescent="0.25">
      <c r="A642" s="2" t="s">
        <v>1625</v>
      </c>
      <c r="B642" s="2" t="s">
        <v>1626</v>
      </c>
      <c r="C642" s="2" t="s">
        <v>1627</v>
      </c>
    </row>
    <row r="643" spans="1:3" x14ac:dyDescent="0.25">
      <c r="A643" s="2" t="s">
        <v>1628</v>
      </c>
      <c r="B643" s="2" t="s">
        <v>1629</v>
      </c>
      <c r="C643" s="2" t="s">
        <v>1630</v>
      </c>
    </row>
    <row r="644" spans="1:3" x14ac:dyDescent="0.25">
      <c r="A644" s="2" t="s">
        <v>1631</v>
      </c>
      <c r="B644" s="2" t="s">
        <v>1632</v>
      </c>
      <c r="C644" s="2" t="s">
        <v>1633</v>
      </c>
    </row>
    <row r="645" spans="1:3" x14ac:dyDescent="0.25">
      <c r="A645" s="2" t="s">
        <v>1634</v>
      </c>
      <c r="B645" s="2" t="s">
        <v>1635</v>
      </c>
      <c r="C645" s="2" t="s">
        <v>1636</v>
      </c>
    </row>
    <row r="646" spans="1:3" x14ac:dyDescent="0.25">
      <c r="A646" s="2" t="s">
        <v>88</v>
      </c>
      <c r="B646" s="2" t="s">
        <v>1637</v>
      </c>
      <c r="C646" s="2" t="s">
        <v>1638</v>
      </c>
    </row>
    <row r="647" spans="1:3" x14ac:dyDescent="0.25">
      <c r="A647" s="2" t="s">
        <v>1639</v>
      </c>
      <c r="B647" s="2" t="s">
        <v>1640</v>
      </c>
      <c r="C647" s="2" t="s">
        <v>1641</v>
      </c>
    </row>
    <row r="648" spans="1:3" x14ac:dyDescent="0.25">
      <c r="A648" s="2" t="s">
        <v>1642</v>
      </c>
      <c r="B648" s="2" t="s">
        <v>1643</v>
      </c>
      <c r="C648" s="2" t="s">
        <v>1644</v>
      </c>
    </row>
    <row r="649" spans="1:3" x14ac:dyDescent="0.25">
      <c r="A649" s="2" t="s">
        <v>1645</v>
      </c>
      <c r="B649" s="2" t="s">
        <v>1646</v>
      </c>
      <c r="C649" s="2" t="s">
        <v>1647</v>
      </c>
    </row>
    <row r="650" spans="1:3" x14ac:dyDescent="0.25">
      <c r="A650" s="2" t="s">
        <v>1648</v>
      </c>
      <c r="B650" s="2" t="s">
        <v>1649</v>
      </c>
      <c r="C650" s="2" t="s">
        <v>1650</v>
      </c>
    </row>
    <row r="651" spans="1:3" x14ac:dyDescent="0.25">
      <c r="A651" s="2" t="s">
        <v>1651</v>
      </c>
      <c r="B651" s="2" t="s">
        <v>1652</v>
      </c>
      <c r="C651" s="2" t="s">
        <v>1653</v>
      </c>
    </row>
    <row r="652" spans="1:3" x14ac:dyDescent="0.25">
      <c r="A652" s="2" t="s">
        <v>1654</v>
      </c>
      <c r="B652" s="2" t="s">
        <v>1655</v>
      </c>
      <c r="C652" s="2" t="s">
        <v>1656</v>
      </c>
    </row>
    <row r="653" spans="1:3" x14ac:dyDescent="0.25">
      <c r="A653" s="2" t="s">
        <v>1657</v>
      </c>
      <c r="B653" s="2" t="s">
        <v>1658</v>
      </c>
      <c r="C653" s="2" t="s">
        <v>1659</v>
      </c>
    </row>
    <row r="654" spans="1:3" x14ac:dyDescent="0.25">
      <c r="A654" s="2" t="s">
        <v>1660</v>
      </c>
      <c r="B654" s="2" t="s">
        <v>1661</v>
      </c>
      <c r="C654" s="2" t="s">
        <v>1662</v>
      </c>
    </row>
    <row r="655" spans="1:3" x14ac:dyDescent="0.25">
      <c r="A655" s="2" t="s">
        <v>1663</v>
      </c>
      <c r="B655" s="2" t="s">
        <v>1664</v>
      </c>
      <c r="C655" s="2" t="s">
        <v>1665</v>
      </c>
    </row>
    <row r="656" spans="1:3" x14ac:dyDescent="0.25">
      <c r="A656" s="2" t="s">
        <v>1666</v>
      </c>
      <c r="B656" s="2" t="s">
        <v>1667</v>
      </c>
      <c r="C656" s="2" t="s">
        <v>1668</v>
      </c>
    </row>
    <row r="657" spans="1:3" x14ac:dyDescent="0.25">
      <c r="A657" s="2" t="s">
        <v>1669</v>
      </c>
      <c r="B657" s="2" t="s">
        <v>1670</v>
      </c>
      <c r="C657" s="2" t="s">
        <v>1671</v>
      </c>
    </row>
    <row r="658" spans="1:3" x14ac:dyDescent="0.25">
      <c r="A658" s="2" t="s">
        <v>1672</v>
      </c>
      <c r="B658" s="2" t="s">
        <v>1673</v>
      </c>
      <c r="C658" s="2" t="s">
        <v>1674</v>
      </c>
    </row>
    <row r="659" spans="1:3" x14ac:dyDescent="0.25">
      <c r="A659" s="2" t="s">
        <v>1675</v>
      </c>
      <c r="B659" s="2" t="s">
        <v>1676</v>
      </c>
      <c r="C659" s="2" t="s">
        <v>1677</v>
      </c>
    </row>
    <row r="660" spans="1:3" x14ac:dyDescent="0.25">
      <c r="A660" s="2" t="s">
        <v>1678</v>
      </c>
      <c r="B660" s="2" t="s">
        <v>1679</v>
      </c>
      <c r="C660" s="2" t="s">
        <v>1680</v>
      </c>
    </row>
    <row r="661" spans="1:3" x14ac:dyDescent="0.25">
      <c r="A661" s="2" t="s">
        <v>87</v>
      </c>
      <c r="B661" s="2" t="s">
        <v>1681</v>
      </c>
      <c r="C661" s="2" t="s">
        <v>1682</v>
      </c>
    </row>
    <row r="662" spans="1:3" x14ac:dyDescent="0.25">
      <c r="A662" s="2" t="s">
        <v>1683</v>
      </c>
      <c r="B662" s="2" t="s">
        <v>1684</v>
      </c>
      <c r="C662" s="2" t="s">
        <v>1685</v>
      </c>
    </row>
    <row r="663" spans="1:3" x14ac:dyDescent="0.25">
      <c r="A663" s="2" t="s">
        <v>1686</v>
      </c>
      <c r="B663" s="2" t="s">
        <v>1687</v>
      </c>
      <c r="C663" s="2" t="s">
        <v>1688</v>
      </c>
    </row>
    <row r="664" spans="1:3" x14ac:dyDescent="0.25">
      <c r="A664" s="2" t="s">
        <v>1689</v>
      </c>
      <c r="B664" s="2" t="s">
        <v>1690</v>
      </c>
      <c r="C664" s="2" t="s">
        <v>1691</v>
      </c>
    </row>
    <row r="665" spans="1:3" x14ac:dyDescent="0.25">
      <c r="A665" s="2" t="s">
        <v>1692</v>
      </c>
      <c r="B665" s="2" t="s">
        <v>1693</v>
      </c>
      <c r="C665" s="2" t="s">
        <v>1694</v>
      </c>
    </row>
    <row r="666" spans="1:3" x14ac:dyDescent="0.25">
      <c r="A666" s="2" t="s">
        <v>1695</v>
      </c>
      <c r="B666" s="2" t="s">
        <v>1696</v>
      </c>
      <c r="C666" s="2" t="s">
        <v>1697</v>
      </c>
    </row>
    <row r="667" spans="1:3" x14ac:dyDescent="0.25">
      <c r="A667" s="2" t="s">
        <v>1698</v>
      </c>
      <c r="B667" s="2" t="s">
        <v>1699</v>
      </c>
      <c r="C667" s="2" t="s">
        <v>1700</v>
      </c>
    </row>
    <row r="668" spans="1:3" x14ac:dyDescent="0.25">
      <c r="A668" s="2" t="s">
        <v>1701</v>
      </c>
      <c r="B668" s="2" t="s">
        <v>1702</v>
      </c>
      <c r="C668" s="2" t="s">
        <v>1703</v>
      </c>
    </row>
    <row r="669" spans="1:3" x14ac:dyDescent="0.25">
      <c r="A669" s="2" t="s">
        <v>1704</v>
      </c>
      <c r="B669" s="2" t="s">
        <v>1705</v>
      </c>
      <c r="C669" s="2" t="s">
        <v>1706</v>
      </c>
    </row>
    <row r="670" spans="1:3" x14ac:dyDescent="0.25">
      <c r="A670" s="2" t="s">
        <v>1707</v>
      </c>
      <c r="B670" s="2" t="s">
        <v>1702</v>
      </c>
      <c r="C670" s="2" t="s">
        <v>1708</v>
      </c>
    </row>
    <row r="671" spans="1:3" x14ac:dyDescent="0.25">
      <c r="A671" s="2" t="s">
        <v>1709</v>
      </c>
      <c r="B671" s="2" t="s">
        <v>1710</v>
      </c>
      <c r="C671" s="2" t="s">
        <v>1711</v>
      </c>
    </row>
    <row r="672" spans="1:3" x14ac:dyDescent="0.25">
      <c r="A672" s="2" t="s">
        <v>1712</v>
      </c>
      <c r="B672" s="2" t="s">
        <v>1713</v>
      </c>
      <c r="C672" s="2" t="s">
        <v>1714</v>
      </c>
    </row>
    <row r="673" spans="1:3" x14ac:dyDescent="0.25">
      <c r="A673" s="2" t="s">
        <v>1715</v>
      </c>
      <c r="B673" s="2" t="s">
        <v>1716</v>
      </c>
      <c r="C673" s="2" t="s">
        <v>1717</v>
      </c>
    </row>
    <row r="674" spans="1:3" x14ac:dyDescent="0.25">
      <c r="A674" s="2" t="s">
        <v>1718</v>
      </c>
      <c r="B674" s="2" t="s">
        <v>1719</v>
      </c>
      <c r="C674" s="2" t="s">
        <v>1720</v>
      </c>
    </row>
    <row r="675" spans="1:3" x14ac:dyDescent="0.25">
      <c r="A675" s="2" t="s">
        <v>1721</v>
      </c>
      <c r="B675" s="2" t="s">
        <v>1722</v>
      </c>
      <c r="C675" s="2" t="s">
        <v>1723</v>
      </c>
    </row>
    <row r="676" spans="1:3" x14ac:dyDescent="0.25">
      <c r="A676" s="2" t="s">
        <v>1724</v>
      </c>
      <c r="B676" s="2" t="s">
        <v>1725</v>
      </c>
      <c r="C676" s="2" t="s">
        <v>1726</v>
      </c>
    </row>
    <row r="677" spans="1:3" x14ac:dyDescent="0.25">
      <c r="A677" s="2" t="s">
        <v>85</v>
      </c>
      <c r="B677" s="2" t="s">
        <v>1727</v>
      </c>
      <c r="C677" s="2" t="s">
        <v>1728</v>
      </c>
    </row>
    <row r="678" spans="1:3" x14ac:dyDescent="0.25">
      <c r="A678" s="2" t="s">
        <v>1729</v>
      </c>
      <c r="B678" s="2" t="s">
        <v>1730</v>
      </c>
      <c r="C678" s="2" t="s">
        <v>1731</v>
      </c>
    </row>
    <row r="679" spans="1:3" x14ac:dyDescent="0.25">
      <c r="A679" s="2" t="s">
        <v>1732</v>
      </c>
      <c r="B679" s="2" t="s">
        <v>1733</v>
      </c>
      <c r="C679" s="2" t="s">
        <v>1734</v>
      </c>
    </row>
    <row r="680" spans="1:3" x14ac:dyDescent="0.25">
      <c r="A680" s="2" t="s">
        <v>1735</v>
      </c>
      <c r="B680" s="2" t="s">
        <v>1736</v>
      </c>
      <c r="C680" s="2" t="s">
        <v>1737</v>
      </c>
    </row>
    <row r="681" spans="1:3" x14ac:dyDescent="0.25">
      <c r="A681" s="2" t="s">
        <v>1738</v>
      </c>
      <c r="B681" s="2" t="s">
        <v>1739</v>
      </c>
      <c r="C681" s="2" t="s">
        <v>1740</v>
      </c>
    </row>
    <row r="682" spans="1:3" x14ac:dyDescent="0.25">
      <c r="A682" s="2" t="s">
        <v>1741</v>
      </c>
      <c r="B682" s="2" t="s">
        <v>1742</v>
      </c>
      <c r="C682" s="2" t="s">
        <v>1743</v>
      </c>
    </row>
    <row r="683" spans="1:3" x14ac:dyDescent="0.25">
      <c r="A683" s="2" t="s">
        <v>1744</v>
      </c>
      <c r="B683" s="2" t="s">
        <v>1745</v>
      </c>
      <c r="C683" s="2" t="s">
        <v>1746</v>
      </c>
    </row>
    <row r="684" spans="1:3" x14ac:dyDescent="0.25">
      <c r="A684" s="2" t="s">
        <v>1747</v>
      </c>
      <c r="B684" s="2" t="s">
        <v>1748</v>
      </c>
      <c r="C684" s="2" t="s">
        <v>1749</v>
      </c>
    </row>
    <row r="685" spans="1:3" x14ac:dyDescent="0.25">
      <c r="A685" s="2" t="s">
        <v>1750</v>
      </c>
      <c r="B685" s="2" t="s">
        <v>1751</v>
      </c>
      <c r="C685" s="2" t="s">
        <v>1752</v>
      </c>
    </row>
    <row r="686" spans="1:3" x14ac:dyDescent="0.25">
      <c r="A686" s="2" t="s">
        <v>1753</v>
      </c>
      <c r="B686" s="2" t="s">
        <v>1754</v>
      </c>
      <c r="C686" s="2" t="s">
        <v>1755</v>
      </c>
    </row>
    <row r="687" spans="1:3" x14ac:dyDescent="0.25">
      <c r="A687" s="2" t="s">
        <v>1756</v>
      </c>
      <c r="B687" s="2" t="s">
        <v>1757</v>
      </c>
      <c r="C687" s="2" t="s">
        <v>1758</v>
      </c>
    </row>
    <row r="688" spans="1:3" x14ac:dyDescent="0.25">
      <c r="A688" s="2" t="s">
        <v>1759</v>
      </c>
      <c r="B688" s="2" t="s">
        <v>1760</v>
      </c>
      <c r="C688" s="2" t="s">
        <v>1761</v>
      </c>
    </row>
    <row r="689" spans="1:13" x14ac:dyDescent="0.25">
      <c r="A689" s="2" t="s">
        <v>1762</v>
      </c>
      <c r="B689" s="2" t="s">
        <v>1763</v>
      </c>
      <c r="C689" s="2" t="s">
        <v>1764</v>
      </c>
    </row>
    <row r="690" spans="1:13" x14ac:dyDescent="0.25">
      <c r="A690" s="2" t="s">
        <v>1765</v>
      </c>
      <c r="B690" s="2" t="s">
        <v>1766</v>
      </c>
      <c r="C690" s="2" t="s">
        <v>1767</v>
      </c>
    </row>
    <row r="691" spans="1:13" x14ac:dyDescent="0.25">
      <c r="A691" s="2" t="s">
        <v>1768</v>
      </c>
      <c r="B691" s="2" t="s">
        <v>1769</v>
      </c>
      <c r="C691" s="2" t="s">
        <v>1770</v>
      </c>
    </row>
    <row r="692" spans="1:13" x14ac:dyDescent="0.25">
      <c r="A692" s="2" t="s">
        <v>1771</v>
      </c>
      <c r="B692" s="2" t="s">
        <v>1772</v>
      </c>
      <c r="C692" s="2" t="s">
        <v>1773</v>
      </c>
    </row>
    <row r="693" spans="1:13" x14ac:dyDescent="0.25">
      <c r="A693" s="2" t="s">
        <v>1774</v>
      </c>
      <c r="B693" s="2" t="s">
        <v>1775</v>
      </c>
      <c r="C693" s="2" t="s">
        <v>1776</v>
      </c>
    </row>
    <row r="694" spans="1:13" x14ac:dyDescent="0.25">
      <c r="A694" s="2" t="s">
        <v>1777</v>
      </c>
      <c r="B694" s="2" t="s">
        <v>1778</v>
      </c>
      <c r="C694" s="2" t="s">
        <v>1779</v>
      </c>
    </row>
    <row r="695" spans="1:13" x14ac:dyDescent="0.25">
      <c r="A695" s="2" t="s">
        <v>1780</v>
      </c>
      <c r="B695" s="2" t="s">
        <v>1781</v>
      </c>
      <c r="C695" s="2" t="s">
        <v>1782</v>
      </c>
    </row>
    <row r="697" spans="1:13" ht="18.75" x14ac:dyDescent="0.25">
      <c r="A697" s="46" t="s">
        <v>1783</v>
      </c>
      <c r="B697" s="46"/>
      <c r="C697" s="46"/>
      <c r="D697" s="46"/>
      <c r="E697" s="46"/>
      <c r="F697" s="46"/>
      <c r="G697" s="46"/>
      <c r="H697" s="46"/>
      <c r="I697" s="46"/>
      <c r="J697" s="46"/>
      <c r="K697" s="46"/>
      <c r="L697" s="46"/>
      <c r="M697" s="46"/>
    </row>
    <row r="698" spans="1:13" ht="38.25" customHeight="1" x14ac:dyDescent="0.25">
      <c r="A698" s="45" t="s">
        <v>1784</v>
      </c>
      <c r="B698" s="45"/>
      <c r="C698" s="45"/>
      <c r="D698" s="45"/>
      <c r="E698" s="45"/>
      <c r="F698" s="45"/>
      <c r="G698" s="45"/>
      <c r="H698" s="45"/>
      <c r="I698" s="45"/>
      <c r="J698" s="45"/>
      <c r="K698" s="45"/>
      <c r="L698" s="45"/>
      <c r="M698" s="45"/>
    </row>
    <row r="699" spans="1:13" x14ac:dyDescent="0.25">
      <c r="A699" s="1" t="s">
        <v>1785</v>
      </c>
      <c r="B699" s="1" t="s">
        <v>1786</v>
      </c>
      <c r="C699" s="1" t="s">
        <v>1787</v>
      </c>
    </row>
    <row r="700" spans="1:13" x14ac:dyDescent="0.25">
      <c r="A700" s="1" t="s">
        <v>1788</v>
      </c>
      <c r="B700" s="1" t="s">
        <v>1789</v>
      </c>
      <c r="C700" s="1" t="s">
        <v>1790</v>
      </c>
    </row>
    <row r="701" spans="1:13" x14ac:dyDescent="0.25">
      <c r="A701" s="1" t="s">
        <v>1791</v>
      </c>
      <c r="B701" s="1" t="s">
        <v>1792</v>
      </c>
      <c r="C701" s="1" t="s">
        <v>1793</v>
      </c>
    </row>
    <row r="702" spans="1:13" x14ac:dyDescent="0.25">
      <c r="A702" s="1" t="s">
        <v>1794</v>
      </c>
      <c r="B702" s="1" t="s">
        <v>1795</v>
      </c>
      <c r="C702" s="1" t="s">
        <v>1796</v>
      </c>
    </row>
    <row r="703" spans="1:13" x14ac:dyDescent="0.25">
      <c r="A703" s="1" t="s">
        <v>1797</v>
      </c>
      <c r="B703" s="1" t="s">
        <v>1798</v>
      </c>
      <c r="C703" s="1" t="s">
        <v>1799</v>
      </c>
    </row>
    <row r="704" spans="1:13" x14ac:dyDescent="0.25">
      <c r="A704" s="1" t="s">
        <v>1800</v>
      </c>
      <c r="B704" s="1" t="s">
        <v>1801</v>
      </c>
      <c r="C704" s="1" t="s">
        <v>1802</v>
      </c>
    </row>
    <row r="705" spans="1:3" x14ac:dyDescent="0.25">
      <c r="A705" s="1" t="s">
        <v>1803</v>
      </c>
      <c r="B705" s="1" t="s">
        <v>1804</v>
      </c>
      <c r="C705" s="1" t="s">
        <v>1805</v>
      </c>
    </row>
    <row r="706" spans="1:3" x14ac:dyDescent="0.25">
      <c r="A706" s="1" t="s">
        <v>1806</v>
      </c>
      <c r="B706" s="1" t="s">
        <v>1807</v>
      </c>
      <c r="C706" s="1" t="s">
        <v>1808</v>
      </c>
    </row>
    <row r="707" spans="1:3" x14ac:dyDescent="0.25">
      <c r="A707" s="1" t="s">
        <v>1809</v>
      </c>
      <c r="B707" s="1" t="s">
        <v>1810</v>
      </c>
      <c r="C707" s="1" t="s">
        <v>1811</v>
      </c>
    </row>
    <row r="708" spans="1:3" x14ac:dyDescent="0.25">
      <c r="A708" s="1" t="s">
        <v>1812</v>
      </c>
      <c r="B708" s="1" t="s">
        <v>1813</v>
      </c>
      <c r="C708" s="1" t="s">
        <v>1814</v>
      </c>
    </row>
    <row r="709" spans="1:3" x14ac:dyDescent="0.25">
      <c r="A709" s="1" t="s">
        <v>1815</v>
      </c>
      <c r="B709" s="1" t="s">
        <v>1816</v>
      </c>
      <c r="C709" s="1" t="s">
        <v>1817</v>
      </c>
    </row>
    <row r="710" spans="1:3" x14ac:dyDescent="0.25">
      <c r="A710" s="1" t="s">
        <v>1818</v>
      </c>
      <c r="B710" s="1" t="s">
        <v>1819</v>
      </c>
      <c r="C710" s="1" t="s">
        <v>1820</v>
      </c>
    </row>
    <row r="711" spans="1:3" x14ac:dyDescent="0.25">
      <c r="A711" s="1" t="s">
        <v>1821</v>
      </c>
      <c r="B711" s="1" t="s">
        <v>1822</v>
      </c>
      <c r="C711" s="1" t="s">
        <v>1823</v>
      </c>
    </row>
    <row r="712" spans="1:3" x14ac:dyDescent="0.25">
      <c r="A712" s="1" t="s">
        <v>1824</v>
      </c>
      <c r="B712" s="1" t="s">
        <v>1825</v>
      </c>
      <c r="C712" s="1" t="s">
        <v>1826</v>
      </c>
    </row>
    <row r="713" spans="1:3" x14ac:dyDescent="0.25">
      <c r="A713" s="1" t="s">
        <v>1827</v>
      </c>
      <c r="B713" s="1" t="s">
        <v>1828</v>
      </c>
      <c r="C713" s="1" t="s">
        <v>1829</v>
      </c>
    </row>
    <row r="714" spans="1:3" x14ac:dyDescent="0.25">
      <c r="A714" s="1" t="s">
        <v>1830</v>
      </c>
      <c r="B714" s="1" t="s">
        <v>1825</v>
      </c>
      <c r="C714" s="1" t="s">
        <v>1831</v>
      </c>
    </row>
    <row r="715" spans="1:3" x14ac:dyDescent="0.25">
      <c r="A715" s="1" t="s">
        <v>1832</v>
      </c>
      <c r="B715" s="1" t="s">
        <v>1833</v>
      </c>
      <c r="C715" s="1" t="s">
        <v>1834</v>
      </c>
    </row>
    <row r="716" spans="1:3" x14ac:dyDescent="0.25">
      <c r="A716" s="1" t="s">
        <v>1835</v>
      </c>
      <c r="B716" s="1" t="s">
        <v>1836</v>
      </c>
      <c r="C716" s="1" t="s">
        <v>1837</v>
      </c>
    </row>
    <row r="717" spans="1:3" x14ac:dyDescent="0.25">
      <c r="A717" s="1" t="s">
        <v>1838</v>
      </c>
      <c r="B717" s="1" t="s">
        <v>1839</v>
      </c>
      <c r="C717" s="1" t="s">
        <v>1840</v>
      </c>
    </row>
    <row r="718" spans="1:3" x14ac:dyDescent="0.25">
      <c r="A718" s="1" t="s">
        <v>1841</v>
      </c>
      <c r="B718" s="1" t="s">
        <v>1842</v>
      </c>
      <c r="C718" s="1" t="s">
        <v>1843</v>
      </c>
    </row>
    <row r="719" spans="1:3" x14ac:dyDescent="0.25">
      <c r="A719" s="1" t="s">
        <v>1844</v>
      </c>
      <c r="B719" s="1" t="s">
        <v>1839</v>
      </c>
      <c r="C719" s="1" t="s">
        <v>1845</v>
      </c>
    </row>
    <row r="720" spans="1:3" x14ac:dyDescent="0.25">
      <c r="A720" s="1" t="s">
        <v>1846</v>
      </c>
      <c r="B720" s="1" t="s">
        <v>1847</v>
      </c>
      <c r="C720" s="1" t="s">
        <v>1848</v>
      </c>
    </row>
    <row r="721" spans="1:13" x14ac:dyDescent="0.25">
      <c r="A721" s="1" t="s">
        <v>1849</v>
      </c>
      <c r="B721" s="1" t="s">
        <v>1850</v>
      </c>
      <c r="C721" s="1" t="s">
        <v>1851</v>
      </c>
    </row>
    <row r="722" spans="1:13" x14ac:dyDescent="0.25">
      <c r="A722" s="1" t="s">
        <v>1852</v>
      </c>
      <c r="B722" s="1" t="s">
        <v>1853</v>
      </c>
      <c r="C722" s="1" t="s">
        <v>1854</v>
      </c>
    </row>
    <row r="723" spans="1:13" x14ac:dyDescent="0.25">
      <c r="A723" s="1" t="s">
        <v>1855</v>
      </c>
      <c r="B723" s="1" t="s">
        <v>1856</v>
      </c>
      <c r="C723" s="1" t="s">
        <v>1857</v>
      </c>
    </row>
    <row r="724" spans="1:13" x14ac:dyDescent="0.25">
      <c r="A724" s="1" t="s">
        <v>1858</v>
      </c>
      <c r="B724" s="1" t="s">
        <v>1859</v>
      </c>
      <c r="C724" s="1" t="s">
        <v>1860</v>
      </c>
    </row>
    <row r="725" spans="1:13" x14ac:dyDescent="0.25">
      <c r="A725" s="1" t="s">
        <v>1861</v>
      </c>
      <c r="B725" s="1" t="s">
        <v>1862</v>
      </c>
      <c r="C725" s="1" t="s">
        <v>1863</v>
      </c>
    </row>
    <row r="726" spans="1:13" x14ac:dyDescent="0.25">
      <c r="A726" s="1" t="s">
        <v>1864</v>
      </c>
      <c r="B726" s="1" t="s">
        <v>1856</v>
      </c>
      <c r="C726" s="1" t="s">
        <v>1865</v>
      </c>
    </row>
    <row r="727" spans="1:13" x14ac:dyDescent="0.25">
      <c r="A727" s="1" t="s">
        <v>1866</v>
      </c>
      <c r="B727" s="1" t="s">
        <v>1867</v>
      </c>
      <c r="C727" s="1" t="s">
        <v>1868</v>
      </c>
    </row>
    <row r="728" spans="1:13" x14ac:dyDescent="0.25">
      <c r="A728" s="1" t="s">
        <v>1869</v>
      </c>
      <c r="B728" s="1" t="s">
        <v>1870</v>
      </c>
      <c r="C728" s="1" t="s">
        <v>1871</v>
      </c>
    </row>
    <row r="729" spans="1:13" x14ac:dyDescent="0.25">
      <c r="A729" s="1" t="s">
        <v>1872</v>
      </c>
      <c r="B729" s="1" t="s">
        <v>1873</v>
      </c>
      <c r="C729" s="1" t="s">
        <v>698</v>
      </c>
    </row>
    <row r="730" spans="1:13" x14ac:dyDescent="0.25">
      <c r="A730" s="1" t="s">
        <v>1874</v>
      </c>
      <c r="B730" s="1" t="s">
        <v>1875</v>
      </c>
      <c r="C730" s="1" t="s">
        <v>1876</v>
      </c>
    </row>
    <row r="731" spans="1:13" x14ac:dyDescent="0.25">
      <c r="A731" s="1" t="s">
        <v>1877</v>
      </c>
      <c r="B731" s="1" t="s">
        <v>1878</v>
      </c>
      <c r="C731" s="1" t="s">
        <v>1879</v>
      </c>
    </row>
    <row r="733" spans="1:13" ht="18.75" x14ac:dyDescent="0.25">
      <c r="A733" s="46" t="s">
        <v>1880</v>
      </c>
      <c r="B733" s="46"/>
      <c r="C733" s="46"/>
      <c r="D733" s="46"/>
      <c r="E733" s="46"/>
      <c r="F733" s="46"/>
      <c r="G733" s="46"/>
      <c r="H733" s="46"/>
      <c r="I733" s="46"/>
      <c r="J733" s="46"/>
      <c r="K733" s="46"/>
      <c r="L733" s="46"/>
      <c r="M733" s="46"/>
    </row>
    <row r="734" spans="1:13" ht="106.5" customHeight="1" x14ac:dyDescent="0.25">
      <c r="A734" s="45" t="s">
        <v>1881</v>
      </c>
      <c r="B734" s="45"/>
      <c r="C734" s="45"/>
      <c r="D734" s="45"/>
      <c r="E734" s="45"/>
      <c r="F734" s="45"/>
      <c r="G734" s="45"/>
      <c r="H734" s="45"/>
      <c r="I734" s="45"/>
      <c r="J734" s="45"/>
      <c r="K734" s="45"/>
      <c r="L734" s="45"/>
      <c r="M734" s="45"/>
    </row>
    <row r="735" spans="1:13" x14ac:dyDescent="0.25">
      <c r="A735" s="1" t="s">
        <v>1785</v>
      </c>
      <c r="B735" s="1" t="s">
        <v>1786</v>
      </c>
      <c r="C735" s="1" t="s">
        <v>1787</v>
      </c>
    </row>
    <row r="736" spans="1:13" x14ac:dyDescent="0.25">
      <c r="A736" s="1" t="s">
        <v>1882</v>
      </c>
      <c r="B736" s="1" t="s">
        <v>1883</v>
      </c>
      <c r="C736" s="1" t="s">
        <v>1884</v>
      </c>
    </row>
    <row r="737" spans="1:3" x14ac:dyDescent="0.25">
      <c r="A737" s="1" t="s">
        <v>1885</v>
      </c>
      <c r="B737" s="1" t="s">
        <v>1886</v>
      </c>
      <c r="C737" s="1" t="s">
        <v>1887</v>
      </c>
    </row>
    <row r="738" spans="1:3" x14ac:dyDescent="0.25">
      <c r="A738" s="1" t="s">
        <v>1888</v>
      </c>
      <c r="B738" s="1" t="s">
        <v>1889</v>
      </c>
      <c r="C738" s="1" t="s">
        <v>1890</v>
      </c>
    </row>
    <row r="739" spans="1:3" x14ac:dyDescent="0.25">
      <c r="A739" s="1" t="s">
        <v>1891</v>
      </c>
      <c r="B739" s="1" t="s">
        <v>1892</v>
      </c>
      <c r="C739" s="1" t="s">
        <v>1893</v>
      </c>
    </row>
    <row r="740" spans="1:3" x14ac:dyDescent="0.25">
      <c r="A740" s="1" t="s">
        <v>1894</v>
      </c>
      <c r="B740" s="1" t="s">
        <v>1895</v>
      </c>
      <c r="C740" s="1" t="s">
        <v>1896</v>
      </c>
    </row>
    <row r="741" spans="1:3" x14ac:dyDescent="0.25">
      <c r="A741" s="1" t="s">
        <v>1897</v>
      </c>
      <c r="B741" s="1" t="s">
        <v>1898</v>
      </c>
      <c r="C741" s="1" t="s">
        <v>1899</v>
      </c>
    </row>
    <row r="742" spans="1:3" x14ac:dyDescent="0.25">
      <c r="A742" s="1" t="s">
        <v>1900</v>
      </c>
      <c r="B742" s="1" t="s">
        <v>1901</v>
      </c>
      <c r="C742" s="1" t="s">
        <v>1902</v>
      </c>
    </row>
    <row r="743" spans="1:3" x14ac:dyDescent="0.25">
      <c r="A743" s="1" t="s">
        <v>1903</v>
      </c>
      <c r="B743" s="1" t="s">
        <v>1904</v>
      </c>
      <c r="C743" s="1" t="s">
        <v>1905</v>
      </c>
    </row>
    <row r="744" spans="1:3" x14ac:dyDescent="0.25">
      <c r="A744" s="1" t="s">
        <v>1906</v>
      </c>
      <c r="B744" s="1" t="s">
        <v>1907</v>
      </c>
      <c r="C744" s="1" t="s">
        <v>1908</v>
      </c>
    </row>
    <row r="745" spans="1:3" x14ac:dyDescent="0.25">
      <c r="A745" s="1" t="s">
        <v>1909</v>
      </c>
      <c r="B745" s="1" t="s">
        <v>1910</v>
      </c>
      <c r="C745" s="1" t="s">
        <v>1911</v>
      </c>
    </row>
    <row r="746" spans="1:3" x14ac:dyDescent="0.25">
      <c r="A746" s="1" t="s">
        <v>1912</v>
      </c>
      <c r="B746" s="1" t="s">
        <v>1913</v>
      </c>
      <c r="C746" s="1" t="s">
        <v>1914</v>
      </c>
    </row>
    <row r="747" spans="1:3" x14ac:dyDescent="0.25">
      <c r="A747" s="1" t="s">
        <v>1915</v>
      </c>
      <c r="B747" s="1" t="s">
        <v>1916</v>
      </c>
      <c r="C747" s="1" t="s">
        <v>1917</v>
      </c>
    </row>
    <row r="748" spans="1:3" x14ac:dyDescent="0.25">
      <c r="A748" s="1" t="s">
        <v>1918</v>
      </c>
      <c r="B748" s="1" t="s">
        <v>1919</v>
      </c>
      <c r="C748" s="1" t="s">
        <v>1920</v>
      </c>
    </row>
    <row r="749" spans="1:3" x14ac:dyDescent="0.25">
      <c r="A749" s="1" t="s">
        <v>1921</v>
      </c>
      <c r="B749" s="1" t="s">
        <v>1913</v>
      </c>
      <c r="C749" s="1" t="s">
        <v>1922</v>
      </c>
    </row>
    <row r="750" spans="1:3" x14ac:dyDescent="0.25">
      <c r="A750" s="1" t="s">
        <v>1923</v>
      </c>
      <c r="B750" s="1" t="s">
        <v>1924</v>
      </c>
      <c r="C750" s="1" t="s">
        <v>1925</v>
      </c>
    </row>
    <row r="751" spans="1:3" x14ac:dyDescent="0.25">
      <c r="A751" s="1" t="s">
        <v>1926</v>
      </c>
      <c r="B751" s="1" t="s">
        <v>1927</v>
      </c>
      <c r="C751" s="1" t="s">
        <v>1928</v>
      </c>
    </row>
    <row r="752" spans="1:3" x14ac:dyDescent="0.25">
      <c r="A752" s="1" t="s">
        <v>1929</v>
      </c>
      <c r="B752" s="1" t="s">
        <v>1930</v>
      </c>
      <c r="C752" s="1" t="s">
        <v>1931</v>
      </c>
    </row>
    <row r="753" spans="1:3" x14ac:dyDescent="0.25">
      <c r="A753" s="1" t="s">
        <v>1932</v>
      </c>
      <c r="B753" s="1" t="s">
        <v>1933</v>
      </c>
      <c r="C753" s="1" t="s">
        <v>1934</v>
      </c>
    </row>
    <row r="754" spans="1:3" x14ac:dyDescent="0.25">
      <c r="A754" s="1" t="s">
        <v>1935</v>
      </c>
      <c r="B754" s="1" t="s">
        <v>1936</v>
      </c>
      <c r="C754" s="1" t="s">
        <v>1937</v>
      </c>
    </row>
    <row r="755" spans="1:3" x14ac:dyDescent="0.25">
      <c r="A755" s="1" t="s">
        <v>1938</v>
      </c>
      <c r="B755" s="1" t="s">
        <v>1939</v>
      </c>
      <c r="C755" s="1" t="s">
        <v>1940</v>
      </c>
    </row>
    <row r="756" spans="1:3" x14ac:dyDescent="0.25">
      <c r="A756" s="1" t="s">
        <v>1941</v>
      </c>
      <c r="B756" s="1" t="s">
        <v>1942</v>
      </c>
      <c r="C756" s="1" t="s">
        <v>1943</v>
      </c>
    </row>
    <row r="757" spans="1:3" x14ac:dyDescent="0.25">
      <c r="A757" s="1" t="s">
        <v>1944</v>
      </c>
      <c r="B757" s="1" t="s">
        <v>1945</v>
      </c>
      <c r="C757" s="1" t="s">
        <v>1946</v>
      </c>
    </row>
    <row r="758" spans="1:3" x14ac:dyDescent="0.25">
      <c r="A758" s="1" t="s">
        <v>1947</v>
      </c>
      <c r="B758" s="1" t="s">
        <v>1948</v>
      </c>
      <c r="C758" s="1" t="s">
        <v>1949</v>
      </c>
    </row>
    <row r="759" spans="1:3" x14ac:dyDescent="0.25">
      <c r="A759" s="1" t="s">
        <v>1950</v>
      </c>
      <c r="B759" s="1" t="s">
        <v>1951</v>
      </c>
      <c r="C759" s="1" t="s">
        <v>1952</v>
      </c>
    </row>
    <row r="760" spans="1:3" x14ac:dyDescent="0.25">
      <c r="A760" s="1" t="s">
        <v>1953</v>
      </c>
      <c r="B760" s="1" t="s">
        <v>1954</v>
      </c>
      <c r="C760" s="1" t="s">
        <v>1955</v>
      </c>
    </row>
    <row r="761" spans="1:3" x14ac:dyDescent="0.25">
      <c r="A761" s="1" t="s">
        <v>1956</v>
      </c>
      <c r="B761" s="1" t="s">
        <v>1957</v>
      </c>
      <c r="C761" s="1" t="s">
        <v>1958</v>
      </c>
    </row>
    <row r="762" spans="1:3" x14ac:dyDescent="0.25">
      <c r="A762" s="1" t="s">
        <v>1959</v>
      </c>
      <c r="B762" s="1" t="s">
        <v>1960</v>
      </c>
      <c r="C762" s="1" t="s">
        <v>1961</v>
      </c>
    </row>
    <row r="763" spans="1:3" x14ac:dyDescent="0.25">
      <c r="A763" s="1" t="s">
        <v>1962</v>
      </c>
      <c r="B763" s="1" t="s">
        <v>1963</v>
      </c>
      <c r="C763" s="1" t="s">
        <v>1964</v>
      </c>
    </row>
    <row r="764" spans="1:3" x14ac:dyDescent="0.25">
      <c r="A764" s="1" t="s">
        <v>1965</v>
      </c>
      <c r="B764" s="1" t="s">
        <v>1966</v>
      </c>
      <c r="C764" s="1" t="s">
        <v>1967</v>
      </c>
    </row>
    <row r="765" spans="1:3" x14ac:dyDescent="0.25">
      <c r="A765" s="1" t="s">
        <v>1968</v>
      </c>
      <c r="B765" s="1" t="s">
        <v>1969</v>
      </c>
      <c r="C765" s="1" t="s">
        <v>1970</v>
      </c>
    </row>
    <row r="766" spans="1:3" x14ac:dyDescent="0.25">
      <c r="A766" s="1" t="s">
        <v>1971</v>
      </c>
      <c r="B766" s="1" t="s">
        <v>1972</v>
      </c>
      <c r="C766" s="1" t="s">
        <v>1973</v>
      </c>
    </row>
    <row r="767" spans="1:3" x14ac:dyDescent="0.25">
      <c r="A767" s="1" t="s">
        <v>1974</v>
      </c>
      <c r="B767" s="1" t="s">
        <v>1975</v>
      </c>
      <c r="C767" s="1" t="s">
        <v>1976</v>
      </c>
    </row>
    <row r="768" spans="1:3" x14ac:dyDescent="0.25">
      <c r="A768" s="1" t="s">
        <v>1977</v>
      </c>
      <c r="B768" s="1" t="s">
        <v>1978</v>
      </c>
      <c r="C768" s="1" t="s">
        <v>1979</v>
      </c>
    </row>
    <row r="769" spans="1:3" x14ac:dyDescent="0.25">
      <c r="A769" s="1" t="s">
        <v>1980</v>
      </c>
      <c r="B769" s="1" t="s">
        <v>1981</v>
      </c>
      <c r="C769" s="1" t="s">
        <v>1982</v>
      </c>
    </row>
    <row r="770" spans="1:3" x14ac:dyDescent="0.25">
      <c r="A770" s="1" t="s">
        <v>1983</v>
      </c>
      <c r="B770" s="1" t="s">
        <v>1984</v>
      </c>
      <c r="C770" s="1" t="s">
        <v>1985</v>
      </c>
    </row>
    <row r="771" spans="1:3" x14ac:dyDescent="0.25">
      <c r="A771" s="1" t="s">
        <v>1986</v>
      </c>
      <c r="B771" s="1" t="s">
        <v>1987</v>
      </c>
      <c r="C771" s="1" t="s">
        <v>1988</v>
      </c>
    </row>
    <row r="772" spans="1:3" x14ac:dyDescent="0.25">
      <c r="A772" s="1" t="s">
        <v>1989</v>
      </c>
      <c r="B772" s="1" t="s">
        <v>1990</v>
      </c>
      <c r="C772" s="1" t="s">
        <v>1991</v>
      </c>
    </row>
    <row r="773" spans="1:3" x14ac:dyDescent="0.25">
      <c r="A773" s="1" t="s">
        <v>1992</v>
      </c>
      <c r="B773" s="1" t="s">
        <v>1993</v>
      </c>
      <c r="C773" s="1" t="s">
        <v>1994</v>
      </c>
    </row>
    <row r="774" spans="1:3" x14ac:dyDescent="0.25">
      <c r="A774" s="1" t="s">
        <v>1995</v>
      </c>
      <c r="B774" s="1" t="s">
        <v>1996</v>
      </c>
      <c r="C774" s="1" t="s">
        <v>1997</v>
      </c>
    </row>
    <row r="775" spans="1:3" x14ac:dyDescent="0.25">
      <c r="A775" s="1" t="s">
        <v>1998</v>
      </c>
      <c r="B775" s="1" t="s">
        <v>1999</v>
      </c>
      <c r="C775" s="1" t="s">
        <v>2000</v>
      </c>
    </row>
    <row r="776" spans="1:3" x14ac:dyDescent="0.25">
      <c r="A776" s="1" t="s">
        <v>2001</v>
      </c>
      <c r="B776" s="1" t="s">
        <v>2002</v>
      </c>
      <c r="C776" s="1" t="s">
        <v>2003</v>
      </c>
    </row>
    <row r="777" spans="1:3" x14ac:dyDescent="0.25">
      <c r="A777" s="1" t="s">
        <v>2004</v>
      </c>
      <c r="B777" s="1" t="s">
        <v>2005</v>
      </c>
      <c r="C777" s="1" t="s">
        <v>2006</v>
      </c>
    </row>
    <row r="778" spans="1:3" x14ac:dyDescent="0.25">
      <c r="A778" s="1" t="s">
        <v>2007</v>
      </c>
      <c r="B778" s="1" t="s">
        <v>2008</v>
      </c>
      <c r="C778" s="1" t="s">
        <v>2009</v>
      </c>
    </row>
    <row r="779" spans="1:3" x14ac:dyDescent="0.25">
      <c r="A779" s="1" t="s">
        <v>2010</v>
      </c>
      <c r="B779" s="1" t="s">
        <v>2011</v>
      </c>
      <c r="C779" s="1" t="s">
        <v>2012</v>
      </c>
    </row>
    <row r="780" spans="1:3" x14ac:dyDescent="0.25">
      <c r="A780" s="1" t="s">
        <v>2013</v>
      </c>
      <c r="B780" s="1" t="s">
        <v>2014</v>
      </c>
      <c r="C780" s="1" t="s">
        <v>2015</v>
      </c>
    </row>
    <row r="781" spans="1:3" x14ac:dyDescent="0.25">
      <c r="A781" s="1" t="s">
        <v>2016</v>
      </c>
      <c r="B781" s="1" t="s">
        <v>2017</v>
      </c>
      <c r="C781" s="1" t="s">
        <v>2018</v>
      </c>
    </row>
    <row r="782" spans="1:3" x14ac:dyDescent="0.25">
      <c r="A782" s="1" t="s">
        <v>2019</v>
      </c>
      <c r="B782" s="1" t="s">
        <v>2020</v>
      </c>
      <c r="C782" s="1" t="s">
        <v>2021</v>
      </c>
    </row>
    <row r="783" spans="1:3" x14ac:dyDescent="0.25">
      <c r="A783" s="1" t="s">
        <v>2022</v>
      </c>
      <c r="B783" s="1" t="s">
        <v>2023</v>
      </c>
      <c r="C783" s="1" t="s">
        <v>2024</v>
      </c>
    </row>
    <row r="784" spans="1:3" x14ac:dyDescent="0.25">
      <c r="A784" s="1" t="s">
        <v>2025</v>
      </c>
      <c r="B784" s="1" t="s">
        <v>2026</v>
      </c>
      <c r="C784" s="1" t="s">
        <v>2027</v>
      </c>
    </row>
    <row r="785" spans="1:3" x14ac:dyDescent="0.25">
      <c r="A785" s="1" t="s">
        <v>2028</v>
      </c>
      <c r="B785" s="1" t="s">
        <v>2029</v>
      </c>
      <c r="C785" s="1" t="s">
        <v>2030</v>
      </c>
    </row>
    <row r="786" spans="1:3" x14ac:dyDescent="0.25">
      <c r="A786" s="1" t="s">
        <v>2031</v>
      </c>
      <c r="B786" s="1" t="s">
        <v>2032</v>
      </c>
      <c r="C786" s="1" t="s">
        <v>2033</v>
      </c>
    </row>
    <row r="787" spans="1:3" x14ac:dyDescent="0.25">
      <c r="A787" s="1" t="s">
        <v>143</v>
      </c>
      <c r="B787" s="1" t="s">
        <v>144</v>
      </c>
      <c r="C787" s="1" t="s">
        <v>2034</v>
      </c>
    </row>
    <row r="788" spans="1:3" x14ac:dyDescent="0.25">
      <c r="A788" s="1" t="s">
        <v>158</v>
      </c>
      <c r="B788" s="1" t="s">
        <v>159</v>
      </c>
      <c r="C788" s="1" t="s">
        <v>2035</v>
      </c>
    </row>
    <row r="789" spans="1:3" x14ac:dyDescent="0.25">
      <c r="A789" s="1" t="s">
        <v>2036</v>
      </c>
      <c r="B789" s="1" t="s">
        <v>2037</v>
      </c>
      <c r="C789" s="1" t="s">
        <v>2038</v>
      </c>
    </row>
    <row r="790" spans="1:3" x14ac:dyDescent="0.25">
      <c r="A790" s="1" t="s">
        <v>2039</v>
      </c>
      <c r="B790" s="1" t="s">
        <v>2040</v>
      </c>
      <c r="C790" s="1" t="s">
        <v>2041</v>
      </c>
    </row>
    <row r="791" spans="1:3" x14ac:dyDescent="0.25">
      <c r="A791" s="1" t="s">
        <v>2042</v>
      </c>
      <c r="B791" s="1" t="s">
        <v>2043</v>
      </c>
      <c r="C791" s="1" t="s">
        <v>2044</v>
      </c>
    </row>
    <row r="792" spans="1:3" x14ac:dyDescent="0.25">
      <c r="A792" s="1" t="s">
        <v>2045</v>
      </c>
      <c r="B792" s="1" t="s">
        <v>2046</v>
      </c>
      <c r="C792" s="1" t="s">
        <v>2047</v>
      </c>
    </row>
    <row r="793" spans="1:3" x14ac:dyDescent="0.25">
      <c r="A793" s="1" t="s">
        <v>2048</v>
      </c>
      <c r="B793" s="1" t="s">
        <v>2049</v>
      </c>
      <c r="C793" s="1" t="s">
        <v>2050</v>
      </c>
    </row>
    <row r="794" spans="1:3" x14ac:dyDescent="0.25">
      <c r="A794" s="1" t="s">
        <v>2051</v>
      </c>
      <c r="B794" s="1" t="s">
        <v>2052</v>
      </c>
      <c r="C794" s="1" t="s">
        <v>2053</v>
      </c>
    </row>
    <row r="795" spans="1:3" x14ac:dyDescent="0.25">
      <c r="A795" s="1" t="s">
        <v>2054</v>
      </c>
      <c r="B795" s="1" t="s">
        <v>2055</v>
      </c>
      <c r="C795" s="1" t="s">
        <v>2056</v>
      </c>
    </row>
    <row r="796" spans="1:3" x14ac:dyDescent="0.25">
      <c r="A796" s="1" t="s">
        <v>2057</v>
      </c>
      <c r="B796" s="1" t="s">
        <v>2058</v>
      </c>
      <c r="C796" s="1" t="s">
        <v>2059</v>
      </c>
    </row>
    <row r="797" spans="1:3" x14ac:dyDescent="0.25">
      <c r="A797" s="1" t="s">
        <v>2060</v>
      </c>
      <c r="B797" s="1" t="s">
        <v>2061</v>
      </c>
      <c r="C797" s="1" t="s">
        <v>2062</v>
      </c>
    </row>
    <row r="798" spans="1:3" x14ac:dyDescent="0.25">
      <c r="A798" s="1" t="s">
        <v>2063</v>
      </c>
      <c r="B798" s="1" t="s">
        <v>2064</v>
      </c>
      <c r="C798" s="1" t="s">
        <v>2065</v>
      </c>
    </row>
    <row r="799" spans="1:3" x14ac:dyDescent="0.25">
      <c r="A799" s="1" t="s">
        <v>2066</v>
      </c>
      <c r="B799" s="1" t="s">
        <v>2067</v>
      </c>
      <c r="C799" s="1" t="s">
        <v>2068</v>
      </c>
    </row>
    <row r="800" spans="1:3" x14ac:dyDescent="0.25">
      <c r="A800" s="1" t="s">
        <v>2069</v>
      </c>
      <c r="B800" s="1" t="s">
        <v>2070</v>
      </c>
      <c r="C800" s="1" t="s">
        <v>2071</v>
      </c>
    </row>
    <row r="801" spans="1:3" x14ac:dyDescent="0.25">
      <c r="A801" s="1" t="s">
        <v>2072</v>
      </c>
      <c r="B801" s="1" t="s">
        <v>2073</v>
      </c>
      <c r="C801" s="1" t="s">
        <v>2074</v>
      </c>
    </row>
    <row r="802" spans="1:3" x14ac:dyDescent="0.25">
      <c r="A802" s="1" t="s">
        <v>2075</v>
      </c>
      <c r="B802" s="1" t="s">
        <v>2076</v>
      </c>
      <c r="C802" s="1" t="s">
        <v>2077</v>
      </c>
    </row>
    <row r="803" spans="1:3" x14ac:dyDescent="0.25">
      <c r="A803" s="1" t="s">
        <v>2078</v>
      </c>
      <c r="B803" s="1" t="s">
        <v>2079</v>
      </c>
      <c r="C803" s="1" t="s">
        <v>2080</v>
      </c>
    </row>
    <row r="804" spans="1:3" x14ac:dyDescent="0.25">
      <c r="A804" s="1" t="s">
        <v>2081</v>
      </c>
      <c r="B804" s="1" t="s">
        <v>2082</v>
      </c>
      <c r="C804" s="1" t="s">
        <v>2083</v>
      </c>
    </row>
    <row r="805" spans="1:3" x14ac:dyDescent="0.25">
      <c r="A805" s="1" t="s">
        <v>2084</v>
      </c>
      <c r="B805" s="1" t="s">
        <v>2085</v>
      </c>
      <c r="C805" s="1" t="s">
        <v>2086</v>
      </c>
    </row>
    <row r="806" spans="1:3" x14ac:dyDescent="0.25">
      <c r="A806" s="1" t="s">
        <v>2087</v>
      </c>
      <c r="B806" s="1" t="s">
        <v>2088</v>
      </c>
      <c r="C806" s="1" t="s">
        <v>2089</v>
      </c>
    </row>
    <row r="807" spans="1:3" x14ac:dyDescent="0.25">
      <c r="A807" s="1" t="s">
        <v>2090</v>
      </c>
      <c r="B807" s="1" t="s">
        <v>2091</v>
      </c>
      <c r="C807" s="1" t="s">
        <v>2092</v>
      </c>
    </row>
    <row r="808" spans="1:3" x14ac:dyDescent="0.25">
      <c r="A808" s="1" t="s">
        <v>2093</v>
      </c>
      <c r="B808" s="1" t="s">
        <v>2094</v>
      </c>
      <c r="C808" s="1" t="s">
        <v>2095</v>
      </c>
    </row>
    <row r="809" spans="1:3" x14ac:dyDescent="0.25">
      <c r="A809" s="1" t="s">
        <v>2096</v>
      </c>
      <c r="B809" s="1" t="s">
        <v>2097</v>
      </c>
      <c r="C809" s="1" t="s">
        <v>2098</v>
      </c>
    </row>
    <row r="810" spans="1:3" x14ac:dyDescent="0.25">
      <c r="A810" s="1" t="s">
        <v>2099</v>
      </c>
      <c r="B810" s="1" t="s">
        <v>2100</v>
      </c>
      <c r="C810" s="1" t="s">
        <v>2101</v>
      </c>
    </row>
    <row r="811" spans="1:3" x14ac:dyDescent="0.25">
      <c r="A811" s="1" t="s">
        <v>2102</v>
      </c>
      <c r="B811" s="1" t="s">
        <v>2103</v>
      </c>
      <c r="C811" s="1" t="s">
        <v>2104</v>
      </c>
    </row>
    <row r="812" spans="1:3" x14ac:dyDescent="0.25">
      <c r="A812" s="1" t="s">
        <v>2105</v>
      </c>
      <c r="B812" s="1" t="s">
        <v>2106</v>
      </c>
      <c r="C812" s="1" t="s">
        <v>2107</v>
      </c>
    </row>
    <row r="813" spans="1:3" x14ac:dyDescent="0.25">
      <c r="A813" s="1" t="s">
        <v>2108</v>
      </c>
      <c r="B813" s="1" t="s">
        <v>2109</v>
      </c>
      <c r="C813" s="1" t="s">
        <v>2110</v>
      </c>
    </row>
    <row r="814" spans="1:3" x14ac:dyDescent="0.25">
      <c r="A814" s="1" t="s">
        <v>2111</v>
      </c>
      <c r="B814" s="1" t="s">
        <v>2112</v>
      </c>
      <c r="C814" s="1" t="s">
        <v>2113</v>
      </c>
    </row>
    <row r="815" spans="1:3" x14ac:dyDescent="0.25">
      <c r="A815" s="1" t="s">
        <v>2114</v>
      </c>
      <c r="B815" s="1" t="s">
        <v>2115</v>
      </c>
      <c r="C815" s="1" t="s">
        <v>2116</v>
      </c>
    </row>
    <row r="816" spans="1:3" x14ac:dyDescent="0.25">
      <c r="A816" s="1" t="s">
        <v>2117</v>
      </c>
      <c r="B816" s="1" t="s">
        <v>2118</v>
      </c>
      <c r="C816" s="1" t="s">
        <v>2119</v>
      </c>
    </row>
    <row r="817" spans="1:3" x14ac:dyDescent="0.25">
      <c r="A817" s="1" t="s">
        <v>2120</v>
      </c>
      <c r="B817" s="1" t="s">
        <v>2121</v>
      </c>
      <c r="C817" s="1" t="s">
        <v>2122</v>
      </c>
    </row>
    <row r="818" spans="1:3" x14ac:dyDescent="0.25">
      <c r="A818" s="1" t="s">
        <v>2123</v>
      </c>
      <c r="B818" s="1" t="s">
        <v>2124</v>
      </c>
      <c r="C818" s="1" t="s">
        <v>2125</v>
      </c>
    </row>
    <row r="819" spans="1:3" x14ac:dyDescent="0.25">
      <c r="A819" s="1" t="s">
        <v>2126</v>
      </c>
      <c r="B819" s="1" t="s">
        <v>2127</v>
      </c>
      <c r="C819" s="1" t="s">
        <v>2128</v>
      </c>
    </row>
    <row r="820" spans="1:3" x14ac:dyDescent="0.25">
      <c r="A820" s="1" t="s">
        <v>2129</v>
      </c>
      <c r="B820" s="1" t="s">
        <v>2130</v>
      </c>
      <c r="C820" s="1" t="s">
        <v>2131</v>
      </c>
    </row>
    <row r="821" spans="1:3" x14ac:dyDescent="0.25">
      <c r="A821" s="1" t="s">
        <v>2132</v>
      </c>
      <c r="B821" s="1" t="s">
        <v>2133</v>
      </c>
      <c r="C821" s="1" t="s">
        <v>2134</v>
      </c>
    </row>
    <row r="822" spans="1:3" x14ac:dyDescent="0.25">
      <c r="A822" s="1" t="s">
        <v>2135</v>
      </c>
      <c r="B822" s="1" t="s">
        <v>2136</v>
      </c>
      <c r="C822" s="1" t="s">
        <v>2137</v>
      </c>
    </row>
    <row r="823" spans="1:3" x14ac:dyDescent="0.25">
      <c r="A823" s="1" t="s">
        <v>2138</v>
      </c>
      <c r="B823" s="1" t="s">
        <v>2133</v>
      </c>
      <c r="C823" s="1" t="s">
        <v>2139</v>
      </c>
    </row>
    <row r="824" spans="1:3" x14ac:dyDescent="0.25">
      <c r="A824" s="1" t="s">
        <v>2140</v>
      </c>
      <c r="B824" s="1" t="s">
        <v>2141</v>
      </c>
      <c r="C824" s="1" t="s">
        <v>2142</v>
      </c>
    </row>
    <row r="825" spans="1:3" x14ac:dyDescent="0.25">
      <c r="A825" s="1" t="s">
        <v>2143</v>
      </c>
      <c r="B825" s="1" t="s">
        <v>2144</v>
      </c>
      <c r="C825" s="1" t="s">
        <v>2145</v>
      </c>
    </row>
    <row r="826" spans="1:3" x14ac:dyDescent="0.25">
      <c r="A826" s="1" t="s">
        <v>2146</v>
      </c>
      <c r="B826" s="1" t="s">
        <v>2147</v>
      </c>
      <c r="C826" s="1" t="s">
        <v>2148</v>
      </c>
    </row>
    <row r="827" spans="1:3" x14ac:dyDescent="0.25">
      <c r="A827" s="1" t="s">
        <v>2149</v>
      </c>
      <c r="B827" s="1" t="s">
        <v>2150</v>
      </c>
      <c r="C827" s="1" t="s">
        <v>2151</v>
      </c>
    </row>
    <row r="828" spans="1:3" x14ac:dyDescent="0.25">
      <c r="A828" s="1" t="s">
        <v>2152</v>
      </c>
      <c r="B828" s="1" t="s">
        <v>2153</v>
      </c>
      <c r="C828" s="1" t="s">
        <v>2154</v>
      </c>
    </row>
    <row r="829" spans="1:3" x14ac:dyDescent="0.25">
      <c r="A829" s="1" t="s">
        <v>2155</v>
      </c>
      <c r="B829" s="1" t="s">
        <v>2156</v>
      </c>
      <c r="C829" s="1" t="s">
        <v>2157</v>
      </c>
    </row>
    <row r="830" spans="1:3" x14ac:dyDescent="0.25">
      <c r="A830" s="1" t="s">
        <v>2158</v>
      </c>
      <c r="B830" s="1" t="s">
        <v>2159</v>
      </c>
      <c r="C830" s="1" t="s">
        <v>2160</v>
      </c>
    </row>
    <row r="831" spans="1:3" x14ac:dyDescent="0.25">
      <c r="A831" s="1" t="s">
        <v>2161</v>
      </c>
      <c r="B831" s="1" t="s">
        <v>2162</v>
      </c>
      <c r="C831" s="1" t="s">
        <v>2163</v>
      </c>
    </row>
    <row r="832" spans="1:3" x14ac:dyDescent="0.25">
      <c r="A832" s="1" t="s">
        <v>2164</v>
      </c>
      <c r="B832" s="1" t="s">
        <v>2165</v>
      </c>
      <c r="C832" s="1" t="s">
        <v>2166</v>
      </c>
    </row>
    <row r="833" spans="1:3" x14ac:dyDescent="0.25">
      <c r="A833" s="1" t="s">
        <v>2167</v>
      </c>
      <c r="B833" s="1" t="s">
        <v>2168</v>
      </c>
      <c r="C833" s="1" t="s">
        <v>2169</v>
      </c>
    </row>
    <row r="834" spans="1:3" x14ac:dyDescent="0.25">
      <c r="A834" s="1" t="s">
        <v>2170</v>
      </c>
      <c r="B834" s="1" t="s">
        <v>2171</v>
      </c>
      <c r="C834" s="1" t="s">
        <v>2172</v>
      </c>
    </row>
    <row r="835" spans="1:3" x14ac:dyDescent="0.25">
      <c r="A835" s="1" t="s">
        <v>2173</v>
      </c>
      <c r="B835" s="1" t="s">
        <v>2174</v>
      </c>
      <c r="C835" s="1" t="s">
        <v>2175</v>
      </c>
    </row>
    <row r="836" spans="1:3" x14ac:dyDescent="0.25">
      <c r="A836" s="1" t="s">
        <v>2176</v>
      </c>
      <c r="B836" s="1" t="s">
        <v>2177</v>
      </c>
      <c r="C836" s="1" t="s">
        <v>2178</v>
      </c>
    </row>
    <row r="837" spans="1:3" x14ac:dyDescent="0.25">
      <c r="A837" s="1" t="s">
        <v>2179</v>
      </c>
      <c r="B837" s="1" t="s">
        <v>2156</v>
      </c>
      <c r="C837" s="1" t="s">
        <v>2180</v>
      </c>
    </row>
    <row r="838" spans="1:3" x14ac:dyDescent="0.25">
      <c r="A838" s="1" t="s">
        <v>2181</v>
      </c>
      <c r="B838" s="1" t="s">
        <v>2182</v>
      </c>
      <c r="C838" s="1" t="s">
        <v>2183</v>
      </c>
    </row>
    <row r="839" spans="1:3" x14ac:dyDescent="0.25">
      <c r="A839" s="1" t="s">
        <v>2184</v>
      </c>
      <c r="B839" s="1" t="s">
        <v>2185</v>
      </c>
      <c r="C839" s="1" t="s">
        <v>2186</v>
      </c>
    </row>
    <row r="840" spans="1:3" x14ac:dyDescent="0.25">
      <c r="A840" s="1" t="s">
        <v>2187</v>
      </c>
      <c r="B840" s="1" t="s">
        <v>2188</v>
      </c>
      <c r="C840" s="1" t="s">
        <v>2189</v>
      </c>
    </row>
    <row r="841" spans="1:3" x14ac:dyDescent="0.25">
      <c r="A841" s="1" t="s">
        <v>2190</v>
      </c>
      <c r="B841" s="1" t="s">
        <v>2182</v>
      </c>
      <c r="C841" s="1" t="s">
        <v>2183</v>
      </c>
    </row>
    <row r="842" spans="1:3" x14ac:dyDescent="0.25">
      <c r="A842" s="1" t="s">
        <v>2191</v>
      </c>
      <c r="B842" s="1" t="s">
        <v>2192</v>
      </c>
      <c r="C842" s="1" t="s">
        <v>2193</v>
      </c>
    </row>
    <row r="843" spans="1:3" x14ac:dyDescent="0.25">
      <c r="A843" s="1" t="s">
        <v>2194</v>
      </c>
      <c r="B843" s="1" t="s">
        <v>2195</v>
      </c>
      <c r="C843" s="1" t="s">
        <v>2196</v>
      </c>
    </row>
    <row r="844" spans="1:3" x14ac:dyDescent="0.25">
      <c r="A844" s="1" t="s">
        <v>2197</v>
      </c>
      <c r="B844" s="1" t="s">
        <v>2198</v>
      </c>
      <c r="C844" s="1" t="s">
        <v>2199</v>
      </c>
    </row>
    <row r="845" spans="1:3" x14ac:dyDescent="0.25">
      <c r="A845" s="1" t="s">
        <v>2200</v>
      </c>
      <c r="B845" s="1" t="s">
        <v>2201</v>
      </c>
      <c r="C845" s="1" t="s">
        <v>2202</v>
      </c>
    </row>
    <row r="846" spans="1:3" x14ac:dyDescent="0.25">
      <c r="A846" s="1" t="s">
        <v>2203</v>
      </c>
      <c r="B846" s="1" t="s">
        <v>2204</v>
      </c>
      <c r="C846" s="1" t="s">
        <v>2205</v>
      </c>
    </row>
    <row r="847" spans="1:3" x14ac:dyDescent="0.25">
      <c r="A847" s="1" t="s">
        <v>2206</v>
      </c>
      <c r="B847" s="1" t="s">
        <v>2207</v>
      </c>
      <c r="C847" s="1" t="s">
        <v>2208</v>
      </c>
    </row>
    <row r="848" spans="1:3" x14ac:dyDescent="0.25">
      <c r="A848" s="1" t="s">
        <v>2209</v>
      </c>
      <c r="B848" s="1" t="s">
        <v>2210</v>
      </c>
      <c r="C848" s="1" t="s">
        <v>2211</v>
      </c>
    </row>
    <row r="849" spans="1:3" x14ac:dyDescent="0.25">
      <c r="A849" s="1" t="s">
        <v>2212</v>
      </c>
      <c r="B849" s="1" t="s">
        <v>2213</v>
      </c>
      <c r="C849" s="1" t="s">
        <v>2214</v>
      </c>
    </row>
    <row r="850" spans="1:3" x14ac:dyDescent="0.25">
      <c r="A850" s="1" t="s">
        <v>2215</v>
      </c>
      <c r="B850" s="1" t="s">
        <v>2216</v>
      </c>
      <c r="C850" s="1" t="s">
        <v>2217</v>
      </c>
    </row>
    <row r="851" spans="1:3" x14ac:dyDescent="0.25">
      <c r="A851" s="1" t="s">
        <v>2218</v>
      </c>
      <c r="B851" s="1" t="s">
        <v>2219</v>
      </c>
      <c r="C851" s="1" t="s">
        <v>2220</v>
      </c>
    </row>
    <row r="852" spans="1:3" x14ac:dyDescent="0.25">
      <c r="A852" s="1" t="s">
        <v>2221</v>
      </c>
      <c r="B852" s="1" t="s">
        <v>2222</v>
      </c>
      <c r="C852" s="1" t="s">
        <v>2223</v>
      </c>
    </row>
    <row r="853" spans="1:3" x14ac:dyDescent="0.25">
      <c r="A853" s="1" t="s">
        <v>2224</v>
      </c>
      <c r="B853" s="1" t="s">
        <v>2225</v>
      </c>
      <c r="C853" s="1" t="s">
        <v>2226</v>
      </c>
    </row>
    <row r="854" spans="1:3" x14ac:dyDescent="0.25">
      <c r="A854" s="1" t="s">
        <v>2227</v>
      </c>
      <c r="B854" s="1" t="s">
        <v>2228</v>
      </c>
      <c r="C854" s="1" t="s">
        <v>2229</v>
      </c>
    </row>
    <row r="855" spans="1:3" x14ac:dyDescent="0.25">
      <c r="A855" s="1" t="s">
        <v>2230</v>
      </c>
      <c r="B855" s="1" t="s">
        <v>2231</v>
      </c>
      <c r="C855" s="1" t="s">
        <v>2232</v>
      </c>
    </row>
    <row r="856" spans="1:3" x14ac:dyDescent="0.25">
      <c r="A856" s="1" t="s">
        <v>2233</v>
      </c>
      <c r="B856" s="1" t="s">
        <v>2234</v>
      </c>
      <c r="C856" s="1" t="s">
        <v>2235</v>
      </c>
    </row>
    <row r="857" spans="1:3" x14ac:dyDescent="0.25">
      <c r="A857" s="1" t="s">
        <v>2236</v>
      </c>
      <c r="B857" s="1" t="s">
        <v>2237</v>
      </c>
      <c r="C857" s="1" t="s">
        <v>2238</v>
      </c>
    </row>
    <row r="858" spans="1:3" x14ac:dyDescent="0.25">
      <c r="A858" s="1" t="s">
        <v>2239</v>
      </c>
      <c r="B858" s="1" t="s">
        <v>2219</v>
      </c>
      <c r="C858" s="1" t="s">
        <v>2240</v>
      </c>
    </row>
    <row r="859" spans="1:3" x14ac:dyDescent="0.25">
      <c r="A859" s="1" t="s">
        <v>2241</v>
      </c>
      <c r="B859" s="1" t="s">
        <v>2242</v>
      </c>
      <c r="C859" s="1" t="s">
        <v>2243</v>
      </c>
    </row>
    <row r="860" spans="1:3" x14ac:dyDescent="0.25">
      <c r="A860" s="1" t="s">
        <v>2244</v>
      </c>
      <c r="B860" s="1" t="s">
        <v>2245</v>
      </c>
      <c r="C860" s="1" t="s">
        <v>2246</v>
      </c>
    </row>
    <row r="861" spans="1:3" x14ac:dyDescent="0.25">
      <c r="A861" s="1" t="s">
        <v>2247</v>
      </c>
      <c r="B861" s="1" t="s">
        <v>2248</v>
      </c>
      <c r="C861" s="1" t="s">
        <v>2249</v>
      </c>
    </row>
    <row r="862" spans="1:3" x14ac:dyDescent="0.25">
      <c r="A862" s="1" t="s">
        <v>2250</v>
      </c>
      <c r="B862" s="1" t="s">
        <v>2219</v>
      </c>
      <c r="C862" s="1" t="s">
        <v>2251</v>
      </c>
    </row>
    <row r="863" spans="1:3" x14ac:dyDescent="0.25">
      <c r="A863" s="1" t="s">
        <v>2252</v>
      </c>
      <c r="B863" s="1" t="s">
        <v>2253</v>
      </c>
      <c r="C863" s="1" t="s">
        <v>2254</v>
      </c>
    </row>
    <row r="864" spans="1:3" x14ac:dyDescent="0.25">
      <c r="A864" s="1" t="s">
        <v>2255</v>
      </c>
      <c r="B864" s="1" t="s">
        <v>2256</v>
      </c>
      <c r="C864" s="1" t="s">
        <v>2257</v>
      </c>
    </row>
    <row r="865" spans="1:3" x14ac:dyDescent="0.25">
      <c r="A865" s="1" t="s">
        <v>2258</v>
      </c>
      <c r="B865" s="1" t="s">
        <v>2259</v>
      </c>
      <c r="C865" s="1" t="s">
        <v>2260</v>
      </c>
    </row>
    <row r="866" spans="1:3" x14ac:dyDescent="0.25">
      <c r="A866" s="1" t="s">
        <v>2261</v>
      </c>
      <c r="B866" s="1" t="s">
        <v>2262</v>
      </c>
      <c r="C866" s="1" t="s">
        <v>2263</v>
      </c>
    </row>
    <row r="867" spans="1:3" x14ac:dyDescent="0.25">
      <c r="A867" s="1" t="s">
        <v>2264</v>
      </c>
      <c r="B867" s="1" t="s">
        <v>2265</v>
      </c>
      <c r="C867" s="1" t="s">
        <v>2266</v>
      </c>
    </row>
    <row r="868" spans="1:3" x14ac:dyDescent="0.25">
      <c r="A868" s="1" t="s">
        <v>2267</v>
      </c>
      <c r="B868" s="1" t="s">
        <v>2268</v>
      </c>
      <c r="C868" s="1" t="s">
        <v>2269</v>
      </c>
    </row>
    <row r="869" spans="1:3" x14ac:dyDescent="0.25">
      <c r="A869" s="1" t="s">
        <v>2270</v>
      </c>
      <c r="B869" s="1" t="s">
        <v>2271</v>
      </c>
      <c r="C869" s="1" t="s">
        <v>2272</v>
      </c>
    </row>
    <row r="870" spans="1:3" x14ac:dyDescent="0.25">
      <c r="A870" s="1" t="s">
        <v>2273</v>
      </c>
      <c r="B870" s="1" t="s">
        <v>2274</v>
      </c>
      <c r="C870" s="1" t="s">
        <v>2275</v>
      </c>
    </row>
    <row r="871" spans="1:3" x14ac:dyDescent="0.25">
      <c r="A871" s="1" t="s">
        <v>2276</v>
      </c>
      <c r="B871" s="1" t="s">
        <v>2277</v>
      </c>
      <c r="C871" s="1" t="s">
        <v>2278</v>
      </c>
    </row>
    <row r="872" spans="1:3" x14ac:dyDescent="0.25">
      <c r="A872" s="1" t="s">
        <v>2279</v>
      </c>
      <c r="B872" s="1" t="s">
        <v>2280</v>
      </c>
      <c r="C872" s="1" t="s">
        <v>2281</v>
      </c>
    </row>
    <row r="873" spans="1:3" x14ac:dyDescent="0.25">
      <c r="A873" s="1" t="s">
        <v>2282</v>
      </c>
      <c r="B873" s="1" t="s">
        <v>2283</v>
      </c>
      <c r="C873" s="1" t="s">
        <v>2284</v>
      </c>
    </row>
    <row r="874" spans="1:3" x14ac:dyDescent="0.25">
      <c r="A874" s="1" t="s">
        <v>2285</v>
      </c>
      <c r="B874" s="1" t="s">
        <v>2286</v>
      </c>
      <c r="C874" s="1" t="s">
        <v>2287</v>
      </c>
    </row>
    <row r="875" spans="1:3" x14ac:dyDescent="0.25">
      <c r="A875" s="1" t="s">
        <v>2288</v>
      </c>
      <c r="B875" s="1" t="s">
        <v>2289</v>
      </c>
      <c r="C875" s="1" t="s">
        <v>2290</v>
      </c>
    </row>
    <row r="876" spans="1:3" x14ac:dyDescent="0.25">
      <c r="A876" s="1" t="s">
        <v>2291</v>
      </c>
      <c r="B876" s="1" t="s">
        <v>2292</v>
      </c>
      <c r="C876" s="1" t="s">
        <v>2293</v>
      </c>
    </row>
    <row r="877" spans="1:3" x14ac:dyDescent="0.25">
      <c r="A877" s="1" t="s">
        <v>2294</v>
      </c>
      <c r="B877" s="1" t="s">
        <v>2295</v>
      </c>
      <c r="C877" s="1" t="s">
        <v>2296</v>
      </c>
    </row>
    <row r="878" spans="1:3" x14ac:dyDescent="0.25">
      <c r="A878" s="1" t="s">
        <v>2297</v>
      </c>
      <c r="B878" s="1" t="s">
        <v>2298</v>
      </c>
      <c r="C878" s="1" t="s">
        <v>2299</v>
      </c>
    </row>
    <row r="879" spans="1:3" x14ac:dyDescent="0.25">
      <c r="A879" s="1" t="s">
        <v>2300</v>
      </c>
      <c r="B879" s="1" t="s">
        <v>2301</v>
      </c>
      <c r="C879" s="1" t="s">
        <v>2302</v>
      </c>
    </row>
    <row r="880" spans="1:3" x14ac:dyDescent="0.25">
      <c r="A880" s="1" t="s">
        <v>2303</v>
      </c>
      <c r="B880" s="1" t="s">
        <v>2304</v>
      </c>
      <c r="C880" s="1" t="s">
        <v>2305</v>
      </c>
    </row>
    <row r="881" spans="1:3" x14ac:dyDescent="0.25">
      <c r="A881" s="1" t="s">
        <v>2306</v>
      </c>
      <c r="B881" s="1" t="s">
        <v>2307</v>
      </c>
      <c r="C881" s="1" t="s">
        <v>2308</v>
      </c>
    </row>
    <row r="882" spans="1:3" x14ac:dyDescent="0.25">
      <c r="A882" s="1" t="s">
        <v>2309</v>
      </c>
      <c r="B882" s="1" t="s">
        <v>2310</v>
      </c>
      <c r="C882" s="1" t="s">
        <v>2311</v>
      </c>
    </row>
    <row r="883" spans="1:3" x14ac:dyDescent="0.25">
      <c r="A883" s="1" t="s">
        <v>2312</v>
      </c>
      <c r="B883" s="1" t="s">
        <v>2313</v>
      </c>
      <c r="C883" s="1" t="s">
        <v>2314</v>
      </c>
    </row>
    <row r="884" spans="1:3" x14ac:dyDescent="0.25">
      <c r="A884" s="1" t="s">
        <v>2315</v>
      </c>
      <c r="B884" s="1" t="s">
        <v>2316</v>
      </c>
      <c r="C884" s="1" t="s">
        <v>2317</v>
      </c>
    </row>
    <row r="885" spans="1:3" x14ac:dyDescent="0.25">
      <c r="A885" s="1" t="s">
        <v>2318</v>
      </c>
      <c r="B885" s="1" t="s">
        <v>2319</v>
      </c>
      <c r="C885" s="1" t="s">
        <v>2320</v>
      </c>
    </row>
    <row r="886" spans="1:3" x14ac:dyDescent="0.25">
      <c r="A886" s="1" t="s">
        <v>2321</v>
      </c>
      <c r="B886" s="1" t="s">
        <v>2322</v>
      </c>
      <c r="C886" s="1" t="s">
        <v>2323</v>
      </c>
    </row>
    <row r="887" spans="1:3" x14ac:dyDescent="0.25">
      <c r="A887" s="1" t="s">
        <v>2324</v>
      </c>
      <c r="B887" s="1" t="s">
        <v>2325</v>
      </c>
      <c r="C887" s="1" t="s">
        <v>2326</v>
      </c>
    </row>
    <row r="888" spans="1:3" x14ac:dyDescent="0.25">
      <c r="A888" s="1" t="s">
        <v>2327</v>
      </c>
      <c r="B888" s="1" t="s">
        <v>2328</v>
      </c>
      <c r="C888" s="1" t="s">
        <v>2329</v>
      </c>
    </row>
    <row r="889" spans="1:3" x14ac:dyDescent="0.25">
      <c r="A889" s="1" t="s">
        <v>2330</v>
      </c>
      <c r="B889" s="1" t="s">
        <v>2331</v>
      </c>
      <c r="C889" s="1" t="s">
        <v>2332</v>
      </c>
    </row>
    <row r="890" spans="1:3" x14ac:dyDescent="0.25">
      <c r="A890" s="1" t="s">
        <v>2333</v>
      </c>
      <c r="B890" s="1" t="s">
        <v>2334</v>
      </c>
      <c r="C890" s="1" t="s">
        <v>2335</v>
      </c>
    </row>
    <row r="891" spans="1:3" x14ac:dyDescent="0.25">
      <c r="A891" s="1" t="s">
        <v>2336</v>
      </c>
      <c r="B891" s="1" t="s">
        <v>2337</v>
      </c>
      <c r="C891" s="1" t="s">
        <v>2338</v>
      </c>
    </row>
    <row r="892" spans="1:3" x14ac:dyDescent="0.25">
      <c r="A892" s="1" t="s">
        <v>2339</v>
      </c>
      <c r="B892" s="1" t="s">
        <v>2340</v>
      </c>
      <c r="C892" s="1" t="s">
        <v>1823</v>
      </c>
    </row>
    <row r="893" spans="1:3" x14ac:dyDescent="0.25">
      <c r="A893" s="1" t="s">
        <v>2341</v>
      </c>
      <c r="B893" s="1" t="s">
        <v>2342</v>
      </c>
      <c r="C893" s="1" t="s">
        <v>2343</v>
      </c>
    </row>
    <row r="894" spans="1:3" x14ac:dyDescent="0.25">
      <c r="A894" s="1" t="s">
        <v>2344</v>
      </c>
      <c r="B894" s="1" t="s">
        <v>2345</v>
      </c>
      <c r="C894" s="1" t="s">
        <v>2346</v>
      </c>
    </row>
    <row r="895" spans="1:3" x14ac:dyDescent="0.25">
      <c r="A895" s="1" t="s">
        <v>2347</v>
      </c>
      <c r="B895" s="1" t="s">
        <v>2348</v>
      </c>
      <c r="C895" s="1" t="s">
        <v>2349</v>
      </c>
    </row>
    <row r="896" spans="1:3" x14ac:dyDescent="0.25">
      <c r="A896" s="1" t="s">
        <v>2350</v>
      </c>
      <c r="B896" s="1" t="s">
        <v>2351</v>
      </c>
      <c r="C896" s="1" t="s">
        <v>235</v>
      </c>
    </row>
    <row r="897" spans="1:13" x14ac:dyDescent="0.25">
      <c r="A897" s="1" t="s">
        <v>2352</v>
      </c>
      <c r="B897" s="1" t="s">
        <v>2353</v>
      </c>
      <c r="C897" s="1" t="s">
        <v>2354</v>
      </c>
    </row>
    <row r="898" spans="1:13" x14ac:dyDescent="0.25">
      <c r="A898" s="1" t="s">
        <v>2355</v>
      </c>
      <c r="B898" s="1" t="s">
        <v>2356</v>
      </c>
      <c r="C898" s="1" t="s">
        <v>2357</v>
      </c>
    </row>
    <row r="899" spans="1:13" x14ac:dyDescent="0.25">
      <c r="A899" s="1" t="s">
        <v>2358</v>
      </c>
      <c r="B899" s="1" t="s">
        <v>2359</v>
      </c>
      <c r="C899" s="1" t="s">
        <v>2360</v>
      </c>
    </row>
    <row r="900" spans="1:13" x14ac:dyDescent="0.25">
      <c r="A900" s="1" t="s">
        <v>2361</v>
      </c>
      <c r="B900" s="1" t="s">
        <v>2362</v>
      </c>
      <c r="C900" s="1" t="s">
        <v>2363</v>
      </c>
    </row>
    <row r="901" spans="1:13" x14ac:dyDescent="0.25">
      <c r="A901" s="1" t="s">
        <v>2364</v>
      </c>
      <c r="B901" s="1" t="s">
        <v>2365</v>
      </c>
      <c r="C901" s="1" t="s">
        <v>2366</v>
      </c>
    </row>
    <row r="903" spans="1:13" ht="18.75" x14ac:dyDescent="0.25">
      <c r="A903" s="46" t="s">
        <v>2367</v>
      </c>
      <c r="B903" s="46"/>
      <c r="C903" s="46"/>
      <c r="D903" s="46"/>
      <c r="E903" s="46"/>
      <c r="F903" s="46"/>
      <c r="G903" s="46"/>
      <c r="H903" s="46"/>
      <c r="I903" s="46"/>
      <c r="J903" s="46"/>
      <c r="K903" s="46"/>
      <c r="L903" s="46"/>
      <c r="M903" s="46"/>
    </row>
    <row r="904" spans="1:13" ht="93" customHeight="1" x14ac:dyDescent="0.25">
      <c r="A904" s="45" t="s">
        <v>2368</v>
      </c>
      <c r="B904" s="45"/>
      <c r="C904" s="45"/>
      <c r="D904" s="45"/>
      <c r="E904" s="45"/>
      <c r="F904" s="45"/>
      <c r="G904" s="45"/>
      <c r="H904" s="45"/>
      <c r="I904" s="45"/>
      <c r="J904" s="45"/>
      <c r="K904" s="45"/>
      <c r="L904" s="45"/>
      <c r="M904" s="45"/>
    </row>
    <row r="905" spans="1:13" x14ac:dyDescent="0.25">
      <c r="A905" s="1" t="s">
        <v>1785</v>
      </c>
      <c r="B905" s="1" t="s">
        <v>1786</v>
      </c>
      <c r="C905" s="1" t="s">
        <v>1787</v>
      </c>
    </row>
    <row r="906" spans="1:13" x14ac:dyDescent="0.25">
      <c r="A906" s="1" t="s">
        <v>315</v>
      </c>
      <c r="B906" s="1" t="s">
        <v>316</v>
      </c>
      <c r="C906" s="1" t="s">
        <v>2369</v>
      </c>
    </row>
    <row r="907" spans="1:13" x14ac:dyDescent="0.25">
      <c r="A907" s="1" t="s">
        <v>369</v>
      </c>
      <c r="B907" s="1" t="s">
        <v>370</v>
      </c>
      <c r="C907" s="1" t="s">
        <v>2370</v>
      </c>
    </row>
    <row r="908" spans="1:13" x14ac:dyDescent="0.25">
      <c r="A908" s="1" t="s">
        <v>372</v>
      </c>
      <c r="B908" s="1" t="s">
        <v>373</v>
      </c>
      <c r="C908" s="1" t="s">
        <v>2371</v>
      </c>
    </row>
    <row r="909" spans="1:13" x14ac:dyDescent="0.25">
      <c r="A909" s="1" t="s">
        <v>2372</v>
      </c>
      <c r="B909" s="1" t="s">
        <v>2373</v>
      </c>
      <c r="C909" s="1" t="s">
        <v>2374</v>
      </c>
    </row>
    <row r="910" spans="1:13" x14ac:dyDescent="0.25">
      <c r="A910" s="1" t="s">
        <v>2375</v>
      </c>
      <c r="B910" s="1" t="s">
        <v>2376</v>
      </c>
      <c r="C910" s="1" t="s">
        <v>2377</v>
      </c>
    </row>
    <row r="911" spans="1:13" x14ac:dyDescent="0.25">
      <c r="A911" s="1" t="s">
        <v>2378</v>
      </c>
      <c r="B911" s="1" t="s">
        <v>2379</v>
      </c>
      <c r="C911" s="1" t="s">
        <v>2380</v>
      </c>
    </row>
    <row r="912" spans="1:13" x14ac:dyDescent="0.25">
      <c r="A912" s="1" t="s">
        <v>2381</v>
      </c>
      <c r="B912" s="1" t="s">
        <v>2382</v>
      </c>
      <c r="C912" s="1" t="s">
        <v>2383</v>
      </c>
    </row>
    <row r="913" spans="1:3" x14ac:dyDescent="0.25">
      <c r="A913" s="1" t="s">
        <v>2384</v>
      </c>
      <c r="B913" s="1" t="s">
        <v>2385</v>
      </c>
      <c r="C913" s="1" t="s">
        <v>2386</v>
      </c>
    </row>
    <row r="914" spans="1:3" x14ac:dyDescent="0.25">
      <c r="A914" s="1" t="s">
        <v>2387</v>
      </c>
      <c r="B914" s="1" t="s">
        <v>2388</v>
      </c>
      <c r="C914" s="1" t="s">
        <v>2389</v>
      </c>
    </row>
    <row r="915" spans="1:3" x14ac:dyDescent="0.25">
      <c r="A915" s="1" t="s">
        <v>2390</v>
      </c>
      <c r="B915" s="1" t="s">
        <v>2391</v>
      </c>
      <c r="C915" s="1" t="s">
        <v>2392</v>
      </c>
    </row>
    <row r="916" spans="1:3" x14ac:dyDescent="0.25">
      <c r="A916" s="1" t="s">
        <v>2393</v>
      </c>
      <c r="B916" s="1" t="s">
        <v>2394</v>
      </c>
      <c r="C916" s="1" t="s">
        <v>2395</v>
      </c>
    </row>
    <row r="917" spans="1:3" x14ac:dyDescent="0.25">
      <c r="A917" s="1" t="s">
        <v>2396</v>
      </c>
      <c r="B917" s="1" t="s">
        <v>2397</v>
      </c>
      <c r="C917" s="1" t="s">
        <v>2398</v>
      </c>
    </row>
    <row r="918" spans="1:3" x14ac:dyDescent="0.25">
      <c r="A918" s="1" t="s">
        <v>2399</v>
      </c>
      <c r="B918" s="1" t="s">
        <v>2400</v>
      </c>
      <c r="C918" s="1" t="s">
        <v>2401</v>
      </c>
    </row>
    <row r="919" spans="1:3" x14ac:dyDescent="0.25">
      <c r="A919" s="1" t="s">
        <v>2402</v>
      </c>
      <c r="B919" s="1" t="s">
        <v>2403</v>
      </c>
      <c r="C919" s="1" t="s">
        <v>2404</v>
      </c>
    </row>
    <row r="920" spans="1:3" x14ac:dyDescent="0.25">
      <c r="A920" s="1" t="s">
        <v>2405</v>
      </c>
      <c r="B920" s="1" t="s">
        <v>2406</v>
      </c>
      <c r="C920" s="1" t="s">
        <v>2407</v>
      </c>
    </row>
    <row r="921" spans="1:3" x14ac:dyDescent="0.25">
      <c r="A921" s="1" t="s">
        <v>2408</v>
      </c>
      <c r="B921" s="1" t="s">
        <v>2409</v>
      </c>
      <c r="C921" s="1" t="s">
        <v>2410</v>
      </c>
    </row>
    <row r="922" spans="1:3" x14ac:dyDescent="0.25">
      <c r="A922" s="1" t="s">
        <v>2411</v>
      </c>
      <c r="B922" s="1" t="s">
        <v>2412</v>
      </c>
      <c r="C922" s="1" t="s">
        <v>2413</v>
      </c>
    </row>
    <row r="923" spans="1:3" x14ac:dyDescent="0.25">
      <c r="A923" s="1" t="s">
        <v>2414</v>
      </c>
      <c r="B923" s="1" t="s">
        <v>2415</v>
      </c>
      <c r="C923" s="1" t="s">
        <v>2416</v>
      </c>
    </row>
    <row r="924" spans="1:3" x14ac:dyDescent="0.25">
      <c r="A924" s="1" t="s">
        <v>2417</v>
      </c>
      <c r="B924" s="1" t="s">
        <v>2418</v>
      </c>
      <c r="C924" s="1" t="s">
        <v>2419</v>
      </c>
    </row>
    <row r="925" spans="1:3" x14ac:dyDescent="0.25">
      <c r="A925" s="1" t="s">
        <v>2420</v>
      </c>
      <c r="B925" s="1" t="s">
        <v>2421</v>
      </c>
      <c r="C925" s="1" t="s">
        <v>2422</v>
      </c>
    </row>
    <row r="926" spans="1:3" x14ac:dyDescent="0.25">
      <c r="A926" s="1" t="s">
        <v>2423</v>
      </c>
      <c r="B926" s="1" t="s">
        <v>2424</v>
      </c>
      <c r="C926" s="1" t="s">
        <v>2425</v>
      </c>
    </row>
    <row r="927" spans="1:3" x14ac:dyDescent="0.25">
      <c r="A927" s="1" t="s">
        <v>2426</v>
      </c>
      <c r="B927" s="1" t="s">
        <v>2427</v>
      </c>
      <c r="C927" s="1" t="s">
        <v>2428</v>
      </c>
    </row>
    <row r="928" spans="1:3" x14ac:dyDescent="0.25">
      <c r="A928" s="1" t="s">
        <v>2429</v>
      </c>
      <c r="B928" s="1" t="s">
        <v>2430</v>
      </c>
      <c r="C928" s="1" t="s">
        <v>2431</v>
      </c>
    </row>
    <row r="929" spans="1:13" x14ac:dyDescent="0.25">
      <c r="A929" s="1" t="s">
        <v>2432</v>
      </c>
      <c r="B929" s="1" t="s">
        <v>2433</v>
      </c>
      <c r="C929" s="1" t="s">
        <v>2434</v>
      </c>
    </row>
    <row r="931" spans="1:13" ht="18.75" x14ac:dyDescent="0.25">
      <c r="A931" s="46" t="s">
        <v>2435</v>
      </c>
      <c r="B931" s="46"/>
      <c r="C931" s="46"/>
      <c r="D931" s="46"/>
      <c r="E931" s="46"/>
      <c r="F931" s="46"/>
      <c r="G931" s="46"/>
      <c r="H931" s="46"/>
      <c r="I931" s="46"/>
      <c r="J931" s="46"/>
      <c r="K931" s="46"/>
      <c r="L931" s="46"/>
      <c r="M931" s="46"/>
    </row>
    <row r="932" spans="1:13" ht="74.25" customHeight="1" x14ac:dyDescent="0.25">
      <c r="A932" s="45" t="s">
        <v>2436</v>
      </c>
      <c r="B932" s="45"/>
      <c r="C932" s="45"/>
      <c r="D932" s="45"/>
      <c r="E932" s="45"/>
      <c r="F932" s="45"/>
      <c r="G932" s="45"/>
      <c r="H932" s="45"/>
      <c r="I932" s="45"/>
      <c r="J932" s="45"/>
      <c r="K932" s="45"/>
      <c r="L932" s="45"/>
      <c r="M932" s="45"/>
    </row>
    <row r="933" spans="1:13" x14ac:dyDescent="0.25">
      <c r="A933" s="1" t="s">
        <v>1785</v>
      </c>
      <c r="B933" s="1" t="s">
        <v>1786</v>
      </c>
      <c r="C933" s="1" t="s">
        <v>1787</v>
      </c>
    </row>
    <row r="934" spans="1:13" x14ac:dyDescent="0.25">
      <c r="A934" s="1" t="s">
        <v>2437</v>
      </c>
      <c r="B934" s="1" t="s">
        <v>2438</v>
      </c>
      <c r="C934" s="1" t="s">
        <v>2439</v>
      </c>
    </row>
    <row r="935" spans="1:13" x14ac:dyDescent="0.25">
      <c r="A935" s="1" t="s">
        <v>2440</v>
      </c>
      <c r="B935" s="1" t="s">
        <v>2441</v>
      </c>
      <c r="C935" s="1" t="s">
        <v>2442</v>
      </c>
    </row>
    <row r="936" spans="1:13" x14ac:dyDescent="0.25">
      <c r="A936" s="1" t="s">
        <v>2443</v>
      </c>
      <c r="B936" s="1" t="s">
        <v>2444</v>
      </c>
      <c r="C936" s="1" t="s">
        <v>2445</v>
      </c>
    </row>
    <row r="937" spans="1:13" x14ac:dyDescent="0.25">
      <c r="A937" s="1" t="s">
        <v>2446</v>
      </c>
      <c r="B937" s="1" t="s">
        <v>2447</v>
      </c>
      <c r="C937" s="1" t="s">
        <v>2448</v>
      </c>
    </row>
    <row r="938" spans="1:13" x14ac:dyDescent="0.25">
      <c r="A938" s="1" t="s">
        <v>2449</v>
      </c>
      <c r="B938" s="1" t="s">
        <v>2450</v>
      </c>
      <c r="C938" s="1" t="s">
        <v>2451</v>
      </c>
    </row>
    <row r="939" spans="1:13" x14ac:dyDescent="0.25">
      <c r="A939" s="1" t="s">
        <v>2452</v>
      </c>
      <c r="B939" s="1" t="s">
        <v>2453</v>
      </c>
      <c r="C939" s="1" t="s">
        <v>2454</v>
      </c>
    </row>
    <row r="940" spans="1:13" x14ac:dyDescent="0.25">
      <c r="A940" s="1" t="s">
        <v>2455</v>
      </c>
      <c r="B940" s="1" t="s">
        <v>2456</v>
      </c>
      <c r="C940" s="1" t="s">
        <v>2457</v>
      </c>
    </row>
    <row r="941" spans="1:13" x14ac:dyDescent="0.25">
      <c r="A941" s="1" t="s">
        <v>2458</v>
      </c>
      <c r="B941" s="1" t="s">
        <v>2459</v>
      </c>
      <c r="C941" s="1" t="s">
        <v>2460</v>
      </c>
    </row>
    <row r="942" spans="1:13" x14ac:dyDescent="0.25">
      <c r="A942" s="1" t="s">
        <v>2461</v>
      </c>
      <c r="B942" s="1" t="s">
        <v>2462</v>
      </c>
      <c r="C942" s="1" t="s">
        <v>2463</v>
      </c>
    </row>
    <row r="943" spans="1:13" x14ac:dyDescent="0.25">
      <c r="A943" s="1" t="s">
        <v>2464</v>
      </c>
      <c r="B943" s="1" t="s">
        <v>2465</v>
      </c>
      <c r="C943" s="1" t="s">
        <v>2466</v>
      </c>
    </row>
    <row r="944" spans="1:13" x14ac:dyDescent="0.25">
      <c r="A944" s="1" t="s">
        <v>2467</v>
      </c>
      <c r="B944" s="1" t="s">
        <v>2468</v>
      </c>
      <c r="C944" s="1" t="s">
        <v>2469</v>
      </c>
    </row>
    <row r="945" spans="1:3" x14ac:dyDescent="0.25">
      <c r="A945" s="1" t="s">
        <v>2470</v>
      </c>
      <c r="B945" s="1" t="s">
        <v>2471</v>
      </c>
      <c r="C945" s="1" t="s">
        <v>2472</v>
      </c>
    </row>
    <row r="946" spans="1:3" x14ac:dyDescent="0.25">
      <c r="A946" s="1" t="s">
        <v>2473</v>
      </c>
      <c r="B946" s="1" t="s">
        <v>2474</v>
      </c>
      <c r="C946" s="1" t="s">
        <v>2475</v>
      </c>
    </row>
    <row r="947" spans="1:3" x14ac:dyDescent="0.25">
      <c r="A947" s="1" t="s">
        <v>2476</v>
      </c>
      <c r="B947" s="1" t="s">
        <v>2477</v>
      </c>
      <c r="C947" s="1" t="s">
        <v>2478</v>
      </c>
    </row>
    <row r="948" spans="1:3" x14ac:dyDescent="0.25">
      <c r="A948" s="1" t="s">
        <v>2479</v>
      </c>
      <c r="B948" s="1" t="s">
        <v>2480</v>
      </c>
      <c r="C948" s="1" t="s">
        <v>2481</v>
      </c>
    </row>
    <row r="949" spans="1:3" x14ac:dyDescent="0.25">
      <c r="A949" s="1" t="s">
        <v>2482</v>
      </c>
      <c r="B949" s="1" t="s">
        <v>2483</v>
      </c>
      <c r="C949" s="1" t="s">
        <v>2484</v>
      </c>
    </row>
    <row r="950" spans="1:3" x14ac:dyDescent="0.25">
      <c r="A950" s="1" t="s">
        <v>2485</v>
      </c>
      <c r="B950" s="1" t="s">
        <v>2486</v>
      </c>
      <c r="C950" s="1" t="s">
        <v>2487</v>
      </c>
    </row>
    <row r="951" spans="1:3" x14ac:dyDescent="0.25">
      <c r="A951" s="1" t="s">
        <v>2488</v>
      </c>
      <c r="B951" s="1" t="s">
        <v>2480</v>
      </c>
      <c r="C951" s="1" t="s">
        <v>2489</v>
      </c>
    </row>
    <row r="952" spans="1:3" x14ac:dyDescent="0.25">
      <c r="A952" s="1" t="s">
        <v>2490</v>
      </c>
      <c r="B952" s="1" t="s">
        <v>2486</v>
      </c>
      <c r="C952" s="1" t="s">
        <v>2491</v>
      </c>
    </row>
    <row r="953" spans="1:3" x14ac:dyDescent="0.25">
      <c r="A953" s="1" t="s">
        <v>2492</v>
      </c>
      <c r="B953" s="1" t="s">
        <v>2493</v>
      </c>
      <c r="C953" s="1" t="s">
        <v>2494</v>
      </c>
    </row>
    <row r="954" spans="1:3" x14ac:dyDescent="0.25">
      <c r="A954" s="1" t="s">
        <v>2495</v>
      </c>
      <c r="B954" s="1" t="s">
        <v>2496</v>
      </c>
      <c r="C954" s="1" t="s">
        <v>2497</v>
      </c>
    </row>
    <row r="955" spans="1:3" x14ac:dyDescent="0.25">
      <c r="A955" s="1" t="s">
        <v>2498</v>
      </c>
      <c r="B955" s="1" t="s">
        <v>2499</v>
      </c>
      <c r="C955" s="1" t="s">
        <v>2500</v>
      </c>
    </row>
    <row r="956" spans="1:3" x14ac:dyDescent="0.25">
      <c r="A956" s="1" t="s">
        <v>2501</v>
      </c>
      <c r="B956" s="1" t="s">
        <v>2502</v>
      </c>
      <c r="C956" s="1" t="s">
        <v>2503</v>
      </c>
    </row>
    <row r="957" spans="1:3" x14ac:dyDescent="0.25">
      <c r="A957" s="1" t="s">
        <v>2504</v>
      </c>
      <c r="B957" s="1" t="s">
        <v>2505</v>
      </c>
      <c r="C957" s="1" t="s">
        <v>2506</v>
      </c>
    </row>
    <row r="958" spans="1:3" x14ac:dyDescent="0.25">
      <c r="A958" s="1" t="s">
        <v>2507</v>
      </c>
      <c r="B958" s="1" t="s">
        <v>2508</v>
      </c>
      <c r="C958" s="1" t="s">
        <v>2509</v>
      </c>
    </row>
    <row r="959" spans="1:3" x14ac:dyDescent="0.25">
      <c r="A959" s="1" t="s">
        <v>2510</v>
      </c>
      <c r="B959" s="1" t="s">
        <v>2511</v>
      </c>
      <c r="C959" s="1" t="s">
        <v>2512</v>
      </c>
    </row>
    <row r="960" spans="1:3" x14ac:dyDescent="0.25">
      <c r="A960" s="1" t="s">
        <v>2513</v>
      </c>
      <c r="B960" s="1" t="s">
        <v>2514</v>
      </c>
      <c r="C960" s="1" t="s">
        <v>2515</v>
      </c>
    </row>
    <row r="961" spans="1:3" x14ac:dyDescent="0.25">
      <c r="A961" s="1" t="s">
        <v>2516</v>
      </c>
      <c r="B961" s="1" t="s">
        <v>2517</v>
      </c>
      <c r="C961" s="1" t="s">
        <v>2518</v>
      </c>
    </row>
    <row r="962" spans="1:3" x14ac:dyDescent="0.25">
      <c r="A962" s="1" t="s">
        <v>2519</v>
      </c>
      <c r="B962" s="1" t="s">
        <v>2520</v>
      </c>
      <c r="C962" s="1" t="s">
        <v>1776</v>
      </c>
    </row>
    <row r="963" spans="1:3" x14ac:dyDescent="0.25">
      <c r="A963" s="1" t="s">
        <v>2521</v>
      </c>
      <c r="B963" s="1" t="s">
        <v>2522</v>
      </c>
      <c r="C963" s="1" t="s">
        <v>2523</v>
      </c>
    </row>
    <row r="964" spans="1:3" x14ac:dyDescent="0.25">
      <c r="A964" s="1" t="s">
        <v>2524</v>
      </c>
      <c r="B964" s="1" t="s">
        <v>2525</v>
      </c>
      <c r="C964" s="1" t="s">
        <v>2526</v>
      </c>
    </row>
    <row r="965" spans="1:3" x14ac:dyDescent="0.25">
      <c r="A965" s="1" t="s">
        <v>2527</v>
      </c>
      <c r="B965" s="1" t="s">
        <v>2528</v>
      </c>
      <c r="C965" s="1" t="s">
        <v>2529</v>
      </c>
    </row>
    <row r="966" spans="1:3" x14ac:dyDescent="0.25">
      <c r="A966" s="1" t="s">
        <v>2530</v>
      </c>
      <c r="B966" s="1" t="s">
        <v>2531</v>
      </c>
      <c r="C966" s="1" t="s">
        <v>2532</v>
      </c>
    </row>
    <row r="967" spans="1:3" x14ac:dyDescent="0.25">
      <c r="A967" s="1" t="s">
        <v>2533</v>
      </c>
      <c r="B967" s="1" t="s">
        <v>2534</v>
      </c>
      <c r="C967" s="1" t="s">
        <v>2535</v>
      </c>
    </row>
    <row r="968" spans="1:3" x14ac:dyDescent="0.25">
      <c r="A968" s="1" t="s">
        <v>2536</v>
      </c>
      <c r="B968" s="1" t="s">
        <v>2537</v>
      </c>
      <c r="C968" s="1" t="s">
        <v>2538</v>
      </c>
    </row>
    <row r="969" spans="1:3" x14ac:dyDescent="0.25">
      <c r="A969" s="1" t="s">
        <v>2539</v>
      </c>
      <c r="B969" s="1" t="s">
        <v>2540</v>
      </c>
      <c r="C969" s="1" t="s">
        <v>2541</v>
      </c>
    </row>
    <row r="970" spans="1:3" x14ac:dyDescent="0.25">
      <c r="A970" s="1" t="s">
        <v>2542</v>
      </c>
      <c r="B970" s="1" t="s">
        <v>2543</v>
      </c>
      <c r="C970" s="1" t="s">
        <v>2544</v>
      </c>
    </row>
    <row r="971" spans="1:3" x14ac:dyDescent="0.25">
      <c r="A971" s="1" t="s">
        <v>2545</v>
      </c>
      <c r="B971" s="1" t="s">
        <v>2546</v>
      </c>
      <c r="C971" s="1" t="s">
        <v>2547</v>
      </c>
    </row>
    <row r="972" spans="1:3" x14ac:dyDescent="0.25">
      <c r="A972" s="1" t="s">
        <v>2548</v>
      </c>
      <c r="B972" s="1" t="s">
        <v>2549</v>
      </c>
      <c r="C972" s="1" t="s">
        <v>2550</v>
      </c>
    </row>
    <row r="973" spans="1:3" x14ac:dyDescent="0.25">
      <c r="A973" s="1" t="s">
        <v>2551</v>
      </c>
      <c r="B973" s="1" t="s">
        <v>2552</v>
      </c>
      <c r="C973" s="1" t="s">
        <v>2553</v>
      </c>
    </row>
    <row r="974" spans="1:3" x14ac:dyDescent="0.25">
      <c r="A974" s="1" t="s">
        <v>2554</v>
      </c>
      <c r="B974" s="1" t="s">
        <v>2555</v>
      </c>
      <c r="C974" s="1" t="s">
        <v>2556</v>
      </c>
    </row>
    <row r="975" spans="1:3" x14ac:dyDescent="0.25">
      <c r="A975" s="1" t="s">
        <v>2557</v>
      </c>
      <c r="B975" s="1" t="s">
        <v>2558</v>
      </c>
      <c r="C975" s="1" t="s">
        <v>2559</v>
      </c>
    </row>
    <row r="976" spans="1:3" x14ac:dyDescent="0.25">
      <c r="A976" s="1" t="s">
        <v>2560</v>
      </c>
      <c r="B976" s="1" t="s">
        <v>2561</v>
      </c>
      <c r="C976" s="1" t="s">
        <v>2562</v>
      </c>
    </row>
    <row r="977" spans="1:3" x14ac:dyDescent="0.25">
      <c r="A977" s="1" t="s">
        <v>2563</v>
      </c>
      <c r="B977" s="1" t="s">
        <v>2564</v>
      </c>
      <c r="C977" s="1" t="s">
        <v>2565</v>
      </c>
    </row>
    <row r="978" spans="1:3" x14ac:dyDescent="0.25">
      <c r="A978" s="1" t="s">
        <v>2566</v>
      </c>
      <c r="B978" s="1" t="s">
        <v>2567</v>
      </c>
      <c r="C978" s="1" t="s">
        <v>2568</v>
      </c>
    </row>
    <row r="979" spans="1:3" x14ac:dyDescent="0.25">
      <c r="A979" s="1" t="s">
        <v>2569</v>
      </c>
      <c r="B979" s="1" t="s">
        <v>2570</v>
      </c>
      <c r="C979" s="1" t="s">
        <v>2571</v>
      </c>
    </row>
    <row r="980" spans="1:3" x14ac:dyDescent="0.25">
      <c r="A980" s="1" t="s">
        <v>2572</v>
      </c>
      <c r="B980" s="1" t="s">
        <v>2573</v>
      </c>
      <c r="C980" s="1" t="s">
        <v>2574</v>
      </c>
    </row>
    <row r="981" spans="1:3" x14ac:dyDescent="0.25">
      <c r="A981" s="1" t="s">
        <v>2575</v>
      </c>
      <c r="B981" s="1" t="s">
        <v>2576</v>
      </c>
      <c r="C981" s="1" t="s">
        <v>2577</v>
      </c>
    </row>
    <row r="982" spans="1:3" x14ac:dyDescent="0.25">
      <c r="A982" s="1" t="s">
        <v>2578</v>
      </c>
      <c r="B982" s="1" t="s">
        <v>2579</v>
      </c>
      <c r="C982" s="1" t="s">
        <v>2580</v>
      </c>
    </row>
    <row r="983" spans="1:3" x14ac:dyDescent="0.25">
      <c r="A983" s="1" t="s">
        <v>2581</v>
      </c>
      <c r="B983" s="1" t="s">
        <v>2582</v>
      </c>
      <c r="C983" s="1" t="s">
        <v>2583</v>
      </c>
    </row>
    <row r="984" spans="1:3" x14ac:dyDescent="0.25">
      <c r="A984" s="1" t="s">
        <v>2584</v>
      </c>
      <c r="B984" s="1" t="s">
        <v>2585</v>
      </c>
      <c r="C984" s="1" t="s">
        <v>2586</v>
      </c>
    </row>
    <row r="985" spans="1:3" x14ac:dyDescent="0.25">
      <c r="A985" s="1" t="s">
        <v>2587</v>
      </c>
      <c r="B985" s="1" t="s">
        <v>2582</v>
      </c>
      <c r="C985" s="1" t="s">
        <v>2588</v>
      </c>
    </row>
    <row r="986" spans="1:3" x14ac:dyDescent="0.25">
      <c r="A986" s="1" t="s">
        <v>2589</v>
      </c>
      <c r="B986" s="1" t="s">
        <v>2590</v>
      </c>
      <c r="C986" s="1" t="s">
        <v>2591</v>
      </c>
    </row>
    <row r="987" spans="1:3" x14ac:dyDescent="0.25">
      <c r="A987" s="1" t="s">
        <v>2592</v>
      </c>
      <c r="B987" s="1" t="s">
        <v>2593</v>
      </c>
      <c r="C987" s="1" t="s">
        <v>2594</v>
      </c>
    </row>
    <row r="988" spans="1:3" x14ac:dyDescent="0.25">
      <c r="A988" s="1" t="s">
        <v>2595</v>
      </c>
      <c r="B988" s="1" t="s">
        <v>2596</v>
      </c>
      <c r="C988" s="1" t="s">
        <v>2597</v>
      </c>
    </row>
    <row r="989" spans="1:3" x14ac:dyDescent="0.25">
      <c r="A989" s="1" t="s">
        <v>2598</v>
      </c>
      <c r="B989" s="1" t="s">
        <v>2599</v>
      </c>
      <c r="C989" s="1" t="s">
        <v>2600</v>
      </c>
    </row>
    <row r="990" spans="1:3" x14ac:dyDescent="0.25">
      <c r="A990" s="1" t="s">
        <v>2601</v>
      </c>
      <c r="B990" s="1" t="s">
        <v>2602</v>
      </c>
      <c r="C990" s="1" t="s">
        <v>2603</v>
      </c>
    </row>
    <row r="991" spans="1:3" x14ac:dyDescent="0.25">
      <c r="A991" s="1" t="s">
        <v>2604</v>
      </c>
      <c r="B991" s="1" t="s">
        <v>2605</v>
      </c>
      <c r="C991" s="1" t="s">
        <v>2606</v>
      </c>
    </row>
    <row r="992" spans="1:3" x14ac:dyDescent="0.25">
      <c r="A992" s="1" t="s">
        <v>2607</v>
      </c>
      <c r="B992" s="1" t="s">
        <v>2608</v>
      </c>
      <c r="C992" s="1" t="s">
        <v>2609</v>
      </c>
    </row>
    <row r="993" spans="1:3" x14ac:dyDescent="0.25">
      <c r="A993" s="1" t="s">
        <v>2610</v>
      </c>
      <c r="B993" s="1" t="s">
        <v>2611</v>
      </c>
      <c r="C993" s="1" t="s">
        <v>2612</v>
      </c>
    </row>
    <row r="994" spans="1:3" x14ac:dyDescent="0.25">
      <c r="A994" s="1" t="s">
        <v>2613</v>
      </c>
      <c r="B994" s="1" t="s">
        <v>2614</v>
      </c>
      <c r="C994" s="1" t="s">
        <v>2615</v>
      </c>
    </row>
    <row r="995" spans="1:3" x14ac:dyDescent="0.25">
      <c r="A995" s="1" t="s">
        <v>2616</v>
      </c>
      <c r="B995" s="1" t="s">
        <v>2608</v>
      </c>
      <c r="C995" s="1" t="s">
        <v>2617</v>
      </c>
    </row>
    <row r="996" spans="1:3" x14ac:dyDescent="0.25">
      <c r="A996" s="1" t="s">
        <v>2618</v>
      </c>
      <c r="B996" s="1" t="s">
        <v>2619</v>
      </c>
      <c r="C996" s="1" t="s">
        <v>2620</v>
      </c>
    </row>
    <row r="997" spans="1:3" x14ac:dyDescent="0.25">
      <c r="A997" s="1" t="s">
        <v>2621</v>
      </c>
      <c r="B997" s="1" t="s">
        <v>2622</v>
      </c>
      <c r="C997" s="1" t="s">
        <v>2623</v>
      </c>
    </row>
    <row r="998" spans="1:3" x14ac:dyDescent="0.25">
      <c r="A998" s="1" t="s">
        <v>2624</v>
      </c>
      <c r="B998" s="1" t="s">
        <v>2614</v>
      </c>
      <c r="C998" s="1" t="s">
        <v>2615</v>
      </c>
    </row>
    <row r="999" spans="1:3" x14ac:dyDescent="0.25">
      <c r="A999" s="1" t="s">
        <v>2625</v>
      </c>
      <c r="B999" s="1" t="s">
        <v>2626</v>
      </c>
      <c r="C999" s="1" t="s">
        <v>2627</v>
      </c>
    </row>
    <row r="1000" spans="1:3" x14ac:dyDescent="0.25">
      <c r="A1000" s="1" t="s">
        <v>2628</v>
      </c>
      <c r="B1000" s="1" t="s">
        <v>2629</v>
      </c>
      <c r="C1000" s="1" t="s">
        <v>2630</v>
      </c>
    </row>
    <row r="1001" spans="1:3" x14ac:dyDescent="0.25">
      <c r="A1001" s="1" t="s">
        <v>2631</v>
      </c>
      <c r="B1001" s="1" t="s">
        <v>2632</v>
      </c>
      <c r="C1001" s="1" t="s">
        <v>1598</v>
      </c>
    </row>
    <row r="1002" spans="1:3" x14ac:dyDescent="0.25">
      <c r="A1002" s="1" t="s">
        <v>2633</v>
      </c>
      <c r="B1002" s="1" t="s">
        <v>2634</v>
      </c>
      <c r="C1002" s="1" t="s">
        <v>2635</v>
      </c>
    </row>
    <row r="1003" spans="1:3" x14ac:dyDescent="0.25">
      <c r="A1003" s="1" t="s">
        <v>2636</v>
      </c>
      <c r="B1003" s="1" t="s">
        <v>2637</v>
      </c>
      <c r="C1003" s="1" t="s">
        <v>2638</v>
      </c>
    </row>
    <row r="1004" spans="1:3" x14ac:dyDescent="0.25">
      <c r="A1004" s="1" t="s">
        <v>2639</v>
      </c>
      <c r="B1004" s="1" t="s">
        <v>2640</v>
      </c>
      <c r="C1004" s="1" t="s">
        <v>2641</v>
      </c>
    </row>
    <row r="1005" spans="1:3" x14ac:dyDescent="0.25">
      <c r="A1005" s="1" t="s">
        <v>2642</v>
      </c>
      <c r="B1005" s="1" t="s">
        <v>2643</v>
      </c>
      <c r="C1005" s="1" t="s">
        <v>2644</v>
      </c>
    </row>
    <row r="1006" spans="1:3" x14ac:dyDescent="0.25">
      <c r="A1006" s="1" t="s">
        <v>2645</v>
      </c>
      <c r="B1006" s="1" t="s">
        <v>2646</v>
      </c>
      <c r="C1006" s="1" t="s">
        <v>2647</v>
      </c>
    </row>
    <row r="1007" spans="1:3" x14ac:dyDescent="0.25">
      <c r="A1007" s="1" t="s">
        <v>2648</v>
      </c>
      <c r="B1007" s="1" t="s">
        <v>2649</v>
      </c>
      <c r="C1007" s="1" t="s">
        <v>2650</v>
      </c>
    </row>
    <row r="1008" spans="1:3" x14ac:dyDescent="0.25">
      <c r="A1008" s="1" t="s">
        <v>2651</v>
      </c>
      <c r="B1008" s="1" t="s">
        <v>2652</v>
      </c>
      <c r="C1008" s="1" t="s">
        <v>2653</v>
      </c>
    </row>
    <row r="1009" spans="1:3" x14ac:dyDescent="0.25">
      <c r="A1009" s="1" t="s">
        <v>2654</v>
      </c>
      <c r="B1009" s="1" t="s">
        <v>2655</v>
      </c>
      <c r="C1009" s="1" t="s">
        <v>2656</v>
      </c>
    </row>
    <row r="1010" spans="1:3" x14ac:dyDescent="0.25">
      <c r="A1010" s="1" t="s">
        <v>2657</v>
      </c>
      <c r="B1010" s="1" t="s">
        <v>2658</v>
      </c>
      <c r="C1010" s="1" t="s">
        <v>2659</v>
      </c>
    </row>
    <row r="1011" spans="1:3" x14ac:dyDescent="0.25">
      <c r="A1011" s="1" t="s">
        <v>2660</v>
      </c>
      <c r="B1011" s="1" t="s">
        <v>2661</v>
      </c>
      <c r="C1011" s="1" t="s">
        <v>2662</v>
      </c>
    </row>
    <row r="1012" spans="1:3" x14ac:dyDescent="0.25">
      <c r="A1012" s="1" t="s">
        <v>2663</v>
      </c>
      <c r="B1012" s="1" t="s">
        <v>2664</v>
      </c>
      <c r="C1012" s="1" t="s">
        <v>2665</v>
      </c>
    </row>
    <row r="1013" spans="1:3" x14ac:dyDescent="0.25">
      <c r="A1013" s="1" t="s">
        <v>2666</v>
      </c>
      <c r="B1013" s="1" t="s">
        <v>2667</v>
      </c>
      <c r="C1013" s="1" t="s">
        <v>2668</v>
      </c>
    </row>
    <row r="1014" spans="1:3" x14ac:dyDescent="0.25">
      <c r="A1014" s="1" t="s">
        <v>2669</v>
      </c>
      <c r="B1014" s="1" t="s">
        <v>2670</v>
      </c>
      <c r="C1014" s="1" t="s">
        <v>2671</v>
      </c>
    </row>
    <row r="1015" spans="1:3" x14ac:dyDescent="0.25">
      <c r="A1015" s="1" t="s">
        <v>2672</v>
      </c>
      <c r="B1015" s="1" t="s">
        <v>2673</v>
      </c>
      <c r="C1015" s="1" t="s">
        <v>2674</v>
      </c>
    </row>
    <row r="1016" spans="1:3" x14ac:dyDescent="0.25">
      <c r="A1016" s="1" t="s">
        <v>2675</v>
      </c>
      <c r="B1016" s="1" t="s">
        <v>2676</v>
      </c>
      <c r="C1016" s="1" t="s">
        <v>2677</v>
      </c>
    </row>
    <row r="1017" spans="1:3" x14ac:dyDescent="0.25">
      <c r="A1017" s="1" t="s">
        <v>2678</v>
      </c>
      <c r="B1017" s="1" t="s">
        <v>2679</v>
      </c>
      <c r="C1017" s="1" t="s">
        <v>2680</v>
      </c>
    </row>
    <row r="1018" spans="1:3" x14ac:dyDescent="0.25">
      <c r="A1018" s="1" t="s">
        <v>2681</v>
      </c>
      <c r="B1018" s="1" t="s">
        <v>2682</v>
      </c>
      <c r="C1018" s="1" t="s">
        <v>2683</v>
      </c>
    </row>
    <row r="1019" spans="1:3" x14ac:dyDescent="0.25">
      <c r="A1019" s="1" t="s">
        <v>2684</v>
      </c>
      <c r="B1019" s="1" t="s">
        <v>2685</v>
      </c>
      <c r="C1019" s="1" t="s">
        <v>2686</v>
      </c>
    </row>
    <row r="1020" spans="1:3" x14ac:dyDescent="0.25">
      <c r="A1020" s="1" t="s">
        <v>2687</v>
      </c>
      <c r="B1020" s="1" t="s">
        <v>2688</v>
      </c>
      <c r="C1020" s="1" t="s">
        <v>2689</v>
      </c>
    </row>
    <row r="1021" spans="1:3" x14ac:dyDescent="0.25">
      <c r="A1021" s="1" t="s">
        <v>2690</v>
      </c>
      <c r="B1021" s="1" t="s">
        <v>2691</v>
      </c>
      <c r="C1021" s="1" t="s">
        <v>2692</v>
      </c>
    </row>
    <row r="1022" spans="1:3" x14ac:dyDescent="0.25">
      <c r="A1022" s="1" t="s">
        <v>2693</v>
      </c>
      <c r="B1022" s="1" t="s">
        <v>2694</v>
      </c>
      <c r="C1022" s="1" t="s">
        <v>2695</v>
      </c>
    </row>
    <row r="1023" spans="1:3" x14ac:dyDescent="0.25">
      <c r="A1023" s="1" t="s">
        <v>2696</v>
      </c>
      <c r="B1023" s="1" t="s">
        <v>2697</v>
      </c>
      <c r="C1023" s="1" t="s">
        <v>2698</v>
      </c>
    </row>
    <row r="1024" spans="1:3" x14ac:dyDescent="0.25">
      <c r="A1024" s="1" t="s">
        <v>2699</v>
      </c>
      <c r="B1024" s="1" t="s">
        <v>2700</v>
      </c>
      <c r="C1024" s="1" t="s">
        <v>2701</v>
      </c>
    </row>
    <row r="1025" spans="1:3" x14ac:dyDescent="0.25">
      <c r="A1025" s="1" t="s">
        <v>2702</v>
      </c>
      <c r="B1025" s="1" t="s">
        <v>2703</v>
      </c>
      <c r="C1025" s="1" t="s">
        <v>2704</v>
      </c>
    </row>
    <row r="1026" spans="1:3" x14ac:dyDescent="0.25">
      <c r="A1026" s="1" t="s">
        <v>2705</v>
      </c>
      <c r="B1026" s="1" t="s">
        <v>2706</v>
      </c>
      <c r="C1026" s="1" t="s">
        <v>2707</v>
      </c>
    </row>
    <row r="1027" spans="1:3" x14ac:dyDescent="0.25">
      <c r="A1027" s="1" t="s">
        <v>2708</v>
      </c>
      <c r="B1027" s="1" t="s">
        <v>2709</v>
      </c>
      <c r="C1027" s="1" t="s">
        <v>2710</v>
      </c>
    </row>
    <row r="1028" spans="1:3" x14ac:dyDescent="0.25">
      <c r="A1028" s="1" t="s">
        <v>2711</v>
      </c>
      <c r="B1028" s="1" t="s">
        <v>2712</v>
      </c>
      <c r="C1028" s="1" t="s">
        <v>2713</v>
      </c>
    </row>
    <row r="1029" spans="1:3" x14ac:dyDescent="0.25">
      <c r="A1029" s="1" t="s">
        <v>2714</v>
      </c>
      <c r="B1029" s="1" t="s">
        <v>2715</v>
      </c>
      <c r="C1029" s="1" t="s">
        <v>2716</v>
      </c>
    </row>
    <row r="1030" spans="1:3" x14ac:dyDescent="0.25">
      <c r="A1030" s="1" t="s">
        <v>2717</v>
      </c>
      <c r="B1030" s="1" t="s">
        <v>2718</v>
      </c>
      <c r="C1030" s="1" t="s">
        <v>2719</v>
      </c>
    </row>
    <row r="1031" spans="1:3" x14ac:dyDescent="0.25">
      <c r="A1031" s="1" t="s">
        <v>2720</v>
      </c>
      <c r="B1031" s="1" t="s">
        <v>2721</v>
      </c>
      <c r="C1031" s="1" t="s">
        <v>2722</v>
      </c>
    </row>
    <row r="1032" spans="1:3" x14ac:dyDescent="0.25">
      <c r="A1032" s="1" t="s">
        <v>2723</v>
      </c>
      <c r="B1032" s="1" t="s">
        <v>2724</v>
      </c>
      <c r="C1032" s="1" t="s">
        <v>2725</v>
      </c>
    </row>
    <row r="1033" spans="1:3" x14ac:dyDescent="0.25">
      <c r="A1033" s="1" t="s">
        <v>2726</v>
      </c>
      <c r="B1033" s="1" t="s">
        <v>2727</v>
      </c>
      <c r="C1033" s="1" t="s">
        <v>2728</v>
      </c>
    </row>
    <row r="1034" spans="1:3" x14ac:dyDescent="0.25">
      <c r="A1034" s="1" t="s">
        <v>2729</v>
      </c>
      <c r="B1034" s="1" t="s">
        <v>2730</v>
      </c>
      <c r="C1034" s="1" t="s">
        <v>2731</v>
      </c>
    </row>
    <row r="1035" spans="1:3" x14ac:dyDescent="0.25">
      <c r="A1035" s="1" t="s">
        <v>2732</v>
      </c>
      <c r="B1035" s="1" t="s">
        <v>2733</v>
      </c>
      <c r="C1035" s="1" t="s">
        <v>2734</v>
      </c>
    </row>
    <row r="1036" spans="1:3" x14ac:dyDescent="0.25">
      <c r="A1036" s="1" t="s">
        <v>2735</v>
      </c>
      <c r="B1036" s="1" t="s">
        <v>2736</v>
      </c>
      <c r="C1036" s="1" t="s">
        <v>2737</v>
      </c>
    </row>
    <row r="1037" spans="1:3" x14ac:dyDescent="0.25">
      <c r="A1037" s="1" t="s">
        <v>2738</v>
      </c>
      <c r="B1037" s="1" t="s">
        <v>2739</v>
      </c>
      <c r="C1037" s="1" t="s">
        <v>2740</v>
      </c>
    </row>
    <row r="1038" spans="1:3" x14ac:dyDescent="0.25">
      <c r="A1038" s="1" t="s">
        <v>2741</v>
      </c>
      <c r="B1038" s="1" t="s">
        <v>2742</v>
      </c>
      <c r="C1038" s="1" t="s">
        <v>2743</v>
      </c>
    </row>
    <row r="1039" spans="1:3" x14ac:dyDescent="0.25">
      <c r="A1039" s="1" t="s">
        <v>2744</v>
      </c>
      <c r="B1039" s="1" t="s">
        <v>2745</v>
      </c>
      <c r="C1039" s="1" t="s">
        <v>2746</v>
      </c>
    </row>
    <row r="1040" spans="1:3" x14ac:dyDescent="0.25">
      <c r="A1040" s="1" t="s">
        <v>2747</v>
      </c>
      <c r="B1040" s="1" t="s">
        <v>2748</v>
      </c>
      <c r="C1040" s="1" t="s">
        <v>2749</v>
      </c>
    </row>
    <row r="1042" spans="1:13" ht="18.75" x14ac:dyDescent="0.25">
      <c r="A1042" s="46" t="s">
        <v>50</v>
      </c>
      <c r="B1042" s="46"/>
      <c r="C1042" s="46"/>
      <c r="D1042" s="46"/>
      <c r="E1042" s="46"/>
      <c r="F1042" s="46"/>
      <c r="G1042" s="46"/>
      <c r="H1042" s="46"/>
      <c r="I1042" s="46"/>
      <c r="J1042" s="46"/>
      <c r="K1042" s="46"/>
      <c r="L1042" s="46"/>
      <c r="M1042" s="46"/>
    </row>
    <row r="1043" spans="1:13" ht="55.5" customHeight="1" x14ac:dyDescent="0.25">
      <c r="A1043" s="45" t="s">
        <v>2750</v>
      </c>
      <c r="B1043" s="45"/>
      <c r="C1043" s="45"/>
      <c r="D1043" s="45"/>
      <c r="E1043" s="45"/>
      <c r="F1043" s="45"/>
      <c r="G1043" s="45"/>
      <c r="H1043" s="45"/>
      <c r="I1043" s="45"/>
      <c r="J1043" s="45"/>
      <c r="K1043" s="45"/>
      <c r="L1043" s="45"/>
      <c r="M1043" s="45"/>
    </row>
    <row r="1044" spans="1:13" x14ac:dyDescent="0.25">
      <c r="A1044" s="1" t="s">
        <v>1785</v>
      </c>
      <c r="B1044" s="1" t="s">
        <v>1786</v>
      </c>
      <c r="C1044" s="1" t="s">
        <v>1787</v>
      </c>
    </row>
    <row r="1045" spans="1:13" x14ac:dyDescent="0.25">
      <c r="A1045" s="1" t="s">
        <v>2751</v>
      </c>
      <c r="B1045" s="1" t="s">
        <v>2752</v>
      </c>
      <c r="C1045" s="1" t="s">
        <v>2753</v>
      </c>
    </row>
    <row r="1046" spans="1:13" x14ac:dyDescent="0.25">
      <c r="A1046" s="1" t="s">
        <v>2754</v>
      </c>
      <c r="B1046" s="1" t="s">
        <v>2755</v>
      </c>
      <c r="C1046" s="1" t="s">
        <v>2756</v>
      </c>
    </row>
    <row r="1047" spans="1:13" x14ac:dyDescent="0.25">
      <c r="A1047" s="1" t="s">
        <v>2757</v>
      </c>
      <c r="B1047" s="1" t="s">
        <v>2758</v>
      </c>
      <c r="C1047" s="1" t="s">
        <v>2759</v>
      </c>
    </row>
    <row r="1048" spans="1:13" x14ac:dyDescent="0.25">
      <c r="A1048" s="1" t="s">
        <v>2760</v>
      </c>
      <c r="B1048" s="1" t="s">
        <v>2761</v>
      </c>
      <c r="C1048" s="1" t="s">
        <v>2762</v>
      </c>
    </row>
    <row r="1049" spans="1:13" x14ac:dyDescent="0.25">
      <c r="A1049" s="1" t="s">
        <v>2763</v>
      </c>
      <c r="B1049" s="1" t="s">
        <v>2764</v>
      </c>
      <c r="C1049" s="1" t="s">
        <v>2765</v>
      </c>
    </row>
    <row r="1050" spans="1:13" x14ac:dyDescent="0.25">
      <c r="A1050" s="1" t="s">
        <v>2766</v>
      </c>
      <c r="B1050" s="1" t="s">
        <v>2767</v>
      </c>
      <c r="C1050" s="1" t="s">
        <v>2768</v>
      </c>
    </row>
    <row r="1051" spans="1:13" x14ac:dyDescent="0.25">
      <c r="A1051" s="1" t="s">
        <v>2769</v>
      </c>
      <c r="B1051" s="1" t="s">
        <v>2770</v>
      </c>
      <c r="C1051" s="1" t="s">
        <v>2771</v>
      </c>
    </row>
    <row r="1052" spans="1:13" x14ac:dyDescent="0.25">
      <c r="A1052" s="1" t="s">
        <v>2772</v>
      </c>
      <c r="B1052" s="1" t="s">
        <v>2773</v>
      </c>
      <c r="C1052" s="1" t="s">
        <v>2774</v>
      </c>
    </row>
    <row r="1053" spans="1:13" x14ac:dyDescent="0.25">
      <c r="A1053" s="1" t="s">
        <v>2775</v>
      </c>
      <c r="B1053" s="1" t="s">
        <v>2776</v>
      </c>
      <c r="C1053" s="1" t="s">
        <v>2777</v>
      </c>
    </row>
    <row r="1054" spans="1:13" x14ac:dyDescent="0.25">
      <c r="A1054" s="1" t="s">
        <v>2778</v>
      </c>
      <c r="B1054" s="1" t="s">
        <v>2779</v>
      </c>
      <c r="C1054" s="1" t="s">
        <v>1429</v>
      </c>
    </row>
    <row r="1055" spans="1:13" x14ac:dyDescent="0.25">
      <c r="A1055" s="1" t="s">
        <v>2780</v>
      </c>
      <c r="B1055" s="1" t="s">
        <v>2781</v>
      </c>
      <c r="C1055" s="1" t="s">
        <v>2782</v>
      </c>
    </row>
    <row r="1056" spans="1:13" x14ac:dyDescent="0.25">
      <c r="A1056" s="1" t="s">
        <v>2783</v>
      </c>
      <c r="B1056" s="1" t="s">
        <v>2784</v>
      </c>
      <c r="C1056" s="1" t="s">
        <v>2785</v>
      </c>
    </row>
    <row r="1057" spans="1:3" x14ac:dyDescent="0.25">
      <c r="A1057" s="1" t="s">
        <v>2786</v>
      </c>
      <c r="B1057" s="1" t="s">
        <v>2787</v>
      </c>
      <c r="C1057" s="1" t="s">
        <v>2788</v>
      </c>
    </row>
    <row r="1058" spans="1:3" x14ac:dyDescent="0.25">
      <c r="A1058" s="1" t="s">
        <v>2789</v>
      </c>
      <c r="B1058" s="1" t="s">
        <v>2790</v>
      </c>
      <c r="C1058" s="1" t="s">
        <v>2791</v>
      </c>
    </row>
    <row r="1059" spans="1:3" x14ac:dyDescent="0.25">
      <c r="A1059" s="1" t="s">
        <v>2792</v>
      </c>
      <c r="B1059" s="1" t="s">
        <v>2793</v>
      </c>
      <c r="C1059" s="1" t="s">
        <v>2794</v>
      </c>
    </row>
    <row r="1060" spans="1:3" x14ac:dyDescent="0.25">
      <c r="A1060" s="1" t="s">
        <v>2795</v>
      </c>
      <c r="B1060" s="1" t="s">
        <v>2796</v>
      </c>
      <c r="C1060" s="1" t="s">
        <v>2797</v>
      </c>
    </row>
    <row r="1061" spans="1:3" x14ac:dyDescent="0.25">
      <c r="A1061" s="1" t="s">
        <v>2798</v>
      </c>
      <c r="B1061" s="1" t="s">
        <v>2799</v>
      </c>
      <c r="C1061" s="1" t="s">
        <v>2800</v>
      </c>
    </row>
    <row r="1062" spans="1:3" x14ac:dyDescent="0.25">
      <c r="A1062" s="1" t="s">
        <v>2801</v>
      </c>
      <c r="B1062" s="1" t="s">
        <v>2802</v>
      </c>
      <c r="C1062" s="1" t="s">
        <v>2803</v>
      </c>
    </row>
    <row r="1063" spans="1:3" x14ac:dyDescent="0.25">
      <c r="A1063" s="1" t="s">
        <v>2804</v>
      </c>
      <c r="B1063" s="1" t="s">
        <v>2805</v>
      </c>
      <c r="C1063" s="1" t="s">
        <v>2806</v>
      </c>
    </row>
    <row r="1064" spans="1:3" x14ac:dyDescent="0.25">
      <c r="A1064" s="1" t="s">
        <v>2807</v>
      </c>
      <c r="B1064" s="1" t="s">
        <v>2808</v>
      </c>
      <c r="C1064" s="1" t="s">
        <v>2809</v>
      </c>
    </row>
    <row r="1065" spans="1:3" x14ac:dyDescent="0.25">
      <c r="A1065" s="1" t="s">
        <v>2810</v>
      </c>
      <c r="B1065" s="1" t="s">
        <v>2811</v>
      </c>
      <c r="C1065" s="1" t="s">
        <v>2812</v>
      </c>
    </row>
    <row r="1066" spans="1:3" x14ac:dyDescent="0.25">
      <c r="A1066" s="1" t="s">
        <v>2813</v>
      </c>
      <c r="B1066" s="1" t="s">
        <v>2814</v>
      </c>
      <c r="C1066" s="1" t="s">
        <v>2815</v>
      </c>
    </row>
    <row r="1067" spans="1:3" x14ac:dyDescent="0.25">
      <c r="A1067" s="1" t="s">
        <v>2816</v>
      </c>
      <c r="B1067" s="1" t="s">
        <v>2817</v>
      </c>
      <c r="C1067" s="1" t="s">
        <v>2818</v>
      </c>
    </row>
    <row r="1068" spans="1:3" x14ac:dyDescent="0.25">
      <c r="A1068" s="1" t="s">
        <v>2819</v>
      </c>
      <c r="B1068" s="1" t="s">
        <v>2820</v>
      </c>
      <c r="C1068" s="1" t="s">
        <v>2821</v>
      </c>
    </row>
    <row r="1069" spans="1:3" x14ac:dyDescent="0.25">
      <c r="A1069" s="1" t="s">
        <v>2822</v>
      </c>
      <c r="B1069" s="1" t="s">
        <v>2823</v>
      </c>
      <c r="C1069" s="1" t="s">
        <v>2824</v>
      </c>
    </row>
    <row r="1070" spans="1:3" x14ac:dyDescent="0.25">
      <c r="A1070" s="1" t="s">
        <v>2825</v>
      </c>
      <c r="B1070" s="1" t="s">
        <v>2820</v>
      </c>
      <c r="C1070" s="1" t="s">
        <v>2826</v>
      </c>
    </row>
    <row r="1071" spans="1:3" x14ac:dyDescent="0.25">
      <c r="A1071" s="1" t="s">
        <v>2827</v>
      </c>
      <c r="B1071" s="1" t="s">
        <v>2828</v>
      </c>
      <c r="C1071" s="1" t="s">
        <v>2829</v>
      </c>
    </row>
    <row r="1072" spans="1:3" x14ac:dyDescent="0.25">
      <c r="A1072" s="1" t="s">
        <v>2830</v>
      </c>
      <c r="B1072" s="1" t="s">
        <v>2831</v>
      </c>
      <c r="C1072" s="1" t="s">
        <v>2832</v>
      </c>
    </row>
    <row r="1073" spans="1:3" x14ac:dyDescent="0.25">
      <c r="A1073" s="1" t="s">
        <v>2833</v>
      </c>
      <c r="B1073" s="1" t="s">
        <v>2834</v>
      </c>
      <c r="C1073" s="1" t="s">
        <v>2835</v>
      </c>
    </row>
    <row r="1074" spans="1:3" x14ac:dyDescent="0.25">
      <c r="A1074" s="1" t="s">
        <v>2836</v>
      </c>
      <c r="B1074" s="1" t="s">
        <v>2837</v>
      </c>
      <c r="C1074" s="1" t="s">
        <v>2838</v>
      </c>
    </row>
    <row r="1075" spans="1:3" x14ac:dyDescent="0.25">
      <c r="A1075" s="1" t="s">
        <v>2839</v>
      </c>
      <c r="B1075" s="1" t="s">
        <v>2840</v>
      </c>
      <c r="C1075" s="1" t="s">
        <v>2841</v>
      </c>
    </row>
    <row r="1076" spans="1:3" x14ac:dyDescent="0.25">
      <c r="A1076" s="1" t="s">
        <v>2842</v>
      </c>
      <c r="B1076" s="1" t="s">
        <v>2843</v>
      </c>
      <c r="C1076" s="1" t="s">
        <v>2844</v>
      </c>
    </row>
    <row r="1077" spans="1:3" x14ac:dyDescent="0.25">
      <c r="A1077" s="1" t="s">
        <v>2845</v>
      </c>
      <c r="B1077" s="1" t="s">
        <v>2846</v>
      </c>
      <c r="C1077" s="1" t="s">
        <v>2847</v>
      </c>
    </row>
    <row r="1078" spans="1:3" x14ac:dyDescent="0.25">
      <c r="A1078" s="1" t="s">
        <v>2848</v>
      </c>
      <c r="B1078" s="1" t="s">
        <v>2849</v>
      </c>
      <c r="C1078" s="1" t="s">
        <v>2850</v>
      </c>
    </row>
    <row r="1079" spans="1:3" x14ac:dyDescent="0.25">
      <c r="A1079" s="1" t="s">
        <v>2851</v>
      </c>
      <c r="B1079" s="1" t="s">
        <v>2852</v>
      </c>
      <c r="C1079" s="1" t="s">
        <v>2853</v>
      </c>
    </row>
    <row r="1080" spans="1:3" x14ac:dyDescent="0.25">
      <c r="A1080" s="1" t="s">
        <v>2854</v>
      </c>
      <c r="B1080" s="1" t="s">
        <v>2855</v>
      </c>
      <c r="C1080" s="1" t="s">
        <v>2856</v>
      </c>
    </row>
    <row r="1081" spans="1:3" x14ac:dyDescent="0.25">
      <c r="A1081" s="1" t="s">
        <v>2857</v>
      </c>
      <c r="B1081" s="1" t="s">
        <v>2858</v>
      </c>
      <c r="C1081" s="1" t="s">
        <v>2859</v>
      </c>
    </row>
    <row r="1082" spans="1:3" x14ac:dyDescent="0.25">
      <c r="A1082" s="1" t="s">
        <v>2860</v>
      </c>
      <c r="B1082" s="1" t="s">
        <v>2861</v>
      </c>
      <c r="C1082" s="1" t="s">
        <v>2862</v>
      </c>
    </row>
    <row r="1083" spans="1:3" x14ac:dyDescent="0.25">
      <c r="A1083" s="1" t="s">
        <v>2863</v>
      </c>
      <c r="B1083" s="1" t="s">
        <v>2864</v>
      </c>
      <c r="C1083" s="1" t="s">
        <v>2865</v>
      </c>
    </row>
    <row r="1084" spans="1:3" x14ac:dyDescent="0.25">
      <c r="A1084" s="1" t="s">
        <v>2866</v>
      </c>
      <c r="B1084" s="1" t="s">
        <v>2867</v>
      </c>
      <c r="C1084" s="1" t="s">
        <v>2868</v>
      </c>
    </row>
    <row r="1085" spans="1:3" x14ac:dyDescent="0.25">
      <c r="A1085" s="1" t="s">
        <v>2869</v>
      </c>
      <c r="B1085" s="1" t="s">
        <v>2870</v>
      </c>
      <c r="C1085" s="1" t="s">
        <v>2871</v>
      </c>
    </row>
    <row r="1086" spans="1:3" x14ac:dyDescent="0.25">
      <c r="A1086" s="47" t="s">
        <v>2872</v>
      </c>
      <c r="B1086" s="47"/>
      <c r="C1086" s="47"/>
    </row>
    <row r="1087" spans="1:3" x14ac:dyDescent="0.25">
      <c r="A1087" s="1" t="s">
        <v>2873</v>
      </c>
      <c r="B1087" s="1" t="s">
        <v>2781</v>
      </c>
      <c r="C1087" s="1"/>
    </row>
    <row r="1088" spans="1:3" x14ac:dyDescent="0.25">
      <c r="A1088" s="1" t="s">
        <v>2874</v>
      </c>
      <c r="B1088" s="1" t="s">
        <v>2875</v>
      </c>
      <c r="C1088" s="1"/>
    </row>
    <row r="1089" spans="1:3" x14ac:dyDescent="0.25">
      <c r="A1089" s="1" t="s">
        <v>2876</v>
      </c>
      <c r="B1089" s="1" t="s">
        <v>2877</v>
      </c>
      <c r="C1089" s="1"/>
    </row>
    <row r="1090" spans="1:3" x14ac:dyDescent="0.25">
      <c r="A1090" s="1" t="s">
        <v>2878</v>
      </c>
      <c r="B1090" s="1" t="s">
        <v>2879</v>
      </c>
      <c r="C1090" s="1"/>
    </row>
    <row r="1091" spans="1:3" x14ac:dyDescent="0.25">
      <c r="A1091" s="1" t="s">
        <v>2880</v>
      </c>
      <c r="B1091" s="1" t="s">
        <v>2881</v>
      </c>
      <c r="C1091" s="1"/>
    </row>
    <row r="1092" spans="1:3" x14ac:dyDescent="0.25">
      <c r="A1092" s="1" t="s">
        <v>2882</v>
      </c>
      <c r="B1092" s="1" t="s">
        <v>2883</v>
      </c>
      <c r="C1092" s="1"/>
    </row>
    <row r="1093" spans="1:3" x14ac:dyDescent="0.25">
      <c r="A1093" s="1" t="s">
        <v>2884</v>
      </c>
      <c r="B1093" s="1" t="s">
        <v>2885</v>
      </c>
      <c r="C1093" s="1"/>
    </row>
    <row r="1094" spans="1:3" x14ac:dyDescent="0.25">
      <c r="A1094" s="1" t="s">
        <v>2886</v>
      </c>
      <c r="B1094" s="1" t="s">
        <v>2887</v>
      </c>
      <c r="C1094" s="1"/>
    </row>
    <row r="1095" spans="1:3" x14ac:dyDescent="0.25">
      <c r="A1095" s="1" t="s">
        <v>2888</v>
      </c>
      <c r="B1095" s="1" t="s">
        <v>2889</v>
      </c>
      <c r="C1095" s="1"/>
    </row>
    <row r="1096" spans="1:3" x14ac:dyDescent="0.25">
      <c r="A1096" s="1" t="s">
        <v>2890</v>
      </c>
      <c r="B1096" s="1" t="s">
        <v>2891</v>
      </c>
      <c r="C1096" s="1"/>
    </row>
    <row r="1097" spans="1:3" x14ac:dyDescent="0.25">
      <c r="A1097" s="1" t="s">
        <v>2892</v>
      </c>
      <c r="B1097" s="1" t="s">
        <v>2893</v>
      </c>
      <c r="C1097" s="1"/>
    </row>
    <row r="1098" spans="1:3" x14ac:dyDescent="0.25">
      <c r="A1098" s="1" t="s">
        <v>2894</v>
      </c>
      <c r="B1098" s="1" t="s">
        <v>2895</v>
      </c>
      <c r="C1098" s="1"/>
    </row>
    <row r="1099" spans="1:3" x14ac:dyDescent="0.25">
      <c r="A1099" s="1" t="s">
        <v>2896</v>
      </c>
      <c r="B1099" s="1" t="s">
        <v>2897</v>
      </c>
      <c r="C1099" s="1"/>
    </row>
    <row r="1100" spans="1:3" x14ac:dyDescent="0.25">
      <c r="A1100" s="1" t="s">
        <v>2898</v>
      </c>
      <c r="B1100" s="1" t="s">
        <v>2899</v>
      </c>
      <c r="C1100" s="1"/>
    </row>
    <row r="1101" spans="1:3" x14ac:dyDescent="0.25">
      <c r="A1101" s="1" t="s">
        <v>2900</v>
      </c>
      <c r="B1101" s="1" t="s">
        <v>2901</v>
      </c>
      <c r="C1101" s="1"/>
    </row>
    <row r="1102" spans="1:3" x14ac:dyDescent="0.25">
      <c r="A1102" s="1" t="s">
        <v>2902</v>
      </c>
      <c r="B1102" s="1" t="s">
        <v>2903</v>
      </c>
      <c r="C1102" s="1"/>
    </row>
    <row r="1103" spans="1:3" x14ac:dyDescent="0.25">
      <c r="A1103" s="3"/>
      <c r="B1103" s="3"/>
      <c r="C1103" s="3"/>
    </row>
    <row r="1105" spans="1:13" ht="18.75" x14ac:dyDescent="0.25">
      <c r="A1105" s="46" t="s">
        <v>2904</v>
      </c>
      <c r="B1105" s="46"/>
      <c r="C1105" s="46"/>
      <c r="D1105" s="46"/>
      <c r="E1105" s="46"/>
      <c r="F1105" s="46"/>
      <c r="G1105" s="46"/>
      <c r="H1105" s="46"/>
      <c r="I1105" s="46"/>
      <c r="J1105" s="46"/>
      <c r="K1105" s="46"/>
      <c r="L1105" s="46"/>
      <c r="M1105" s="46"/>
    </row>
    <row r="1106" spans="1:13" ht="58.5" customHeight="1" x14ac:dyDescent="0.25">
      <c r="A1106" s="45" t="s">
        <v>2905</v>
      </c>
      <c r="B1106" s="45"/>
      <c r="C1106" s="45"/>
      <c r="D1106" s="45"/>
      <c r="E1106" s="45"/>
      <c r="F1106" s="45"/>
      <c r="G1106" s="45"/>
      <c r="H1106" s="45"/>
      <c r="I1106" s="45"/>
      <c r="J1106" s="45"/>
      <c r="K1106" s="45"/>
      <c r="L1106" s="45"/>
      <c r="M1106" s="45"/>
    </row>
    <row r="1107" spans="1:13" x14ac:dyDescent="0.25">
      <c r="A1107" s="1" t="s">
        <v>1785</v>
      </c>
      <c r="B1107" s="1" t="s">
        <v>1786</v>
      </c>
      <c r="C1107" s="1" t="s">
        <v>1787</v>
      </c>
    </row>
    <row r="1108" spans="1:13" x14ac:dyDescent="0.25">
      <c r="A1108" s="1" t="s">
        <v>2906</v>
      </c>
      <c r="B1108" s="1" t="s">
        <v>2907</v>
      </c>
      <c r="C1108" s="1" t="s">
        <v>2908</v>
      </c>
    </row>
    <row r="1109" spans="1:13" x14ac:dyDescent="0.25">
      <c r="A1109" s="1" t="s">
        <v>2909</v>
      </c>
      <c r="B1109" s="1" t="s">
        <v>2910</v>
      </c>
      <c r="C1109" s="1" t="s">
        <v>2911</v>
      </c>
    </row>
    <row r="1110" spans="1:13" x14ac:dyDescent="0.25">
      <c r="A1110" s="1" t="s">
        <v>2912</v>
      </c>
      <c r="B1110" s="1" t="s">
        <v>2913</v>
      </c>
      <c r="C1110" s="1" t="s">
        <v>2914</v>
      </c>
    </row>
    <row r="1111" spans="1:13" x14ac:dyDescent="0.25">
      <c r="A1111" s="1" t="s">
        <v>2915</v>
      </c>
      <c r="B1111" s="1" t="s">
        <v>2916</v>
      </c>
      <c r="C1111" s="1" t="s">
        <v>2917</v>
      </c>
    </row>
    <row r="1112" spans="1:13" x14ac:dyDescent="0.25">
      <c r="A1112" s="1" t="s">
        <v>2918</v>
      </c>
      <c r="B1112" s="1" t="s">
        <v>2919</v>
      </c>
      <c r="C1112" s="1" t="s">
        <v>2920</v>
      </c>
    </row>
    <row r="1113" spans="1:13" x14ac:dyDescent="0.25">
      <c r="A1113" s="1" t="s">
        <v>2921</v>
      </c>
      <c r="B1113" s="1" t="s">
        <v>2922</v>
      </c>
      <c r="C1113" s="1" t="s">
        <v>2923</v>
      </c>
    </row>
    <row r="1114" spans="1:13" x14ac:dyDescent="0.25">
      <c r="A1114" s="1" t="s">
        <v>2924</v>
      </c>
      <c r="B1114" s="1" t="s">
        <v>2925</v>
      </c>
      <c r="C1114" s="1" t="s">
        <v>2926</v>
      </c>
    </row>
    <row r="1115" spans="1:13" x14ac:dyDescent="0.25">
      <c r="A1115" s="1" t="s">
        <v>2927</v>
      </c>
      <c r="B1115" s="1" t="s">
        <v>2928</v>
      </c>
      <c r="C1115" s="1" t="s">
        <v>2929</v>
      </c>
    </row>
    <row r="1116" spans="1:13" x14ac:dyDescent="0.25">
      <c r="A1116" s="1" t="s">
        <v>2930</v>
      </c>
      <c r="B1116" s="1" t="s">
        <v>2931</v>
      </c>
      <c r="C1116" s="1" t="s">
        <v>2859</v>
      </c>
    </row>
    <row r="1117" spans="1:13" x14ac:dyDescent="0.25">
      <c r="A1117" s="1" t="s">
        <v>2932</v>
      </c>
      <c r="B1117" s="1" t="s">
        <v>2933</v>
      </c>
      <c r="C1117" s="1" t="s">
        <v>2934</v>
      </c>
    </row>
    <row r="1118" spans="1:13" x14ac:dyDescent="0.25">
      <c r="A1118" s="1" t="s">
        <v>2935</v>
      </c>
      <c r="B1118" s="1" t="s">
        <v>2936</v>
      </c>
      <c r="C1118" s="1" t="s">
        <v>2937</v>
      </c>
    </row>
    <row r="1119" spans="1:13" x14ac:dyDescent="0.25">
      <c r="A1119" s="1" t="s">
        <v>2938</v>
      </c>
      <c r="B1119" s="1" t="s">
        <v>2939</v>
      </c>
      <c r="C1119" s="1" t="s">
        <v>2940</v>
      </c>
    </row>
    <row r="1120" spans="1:13" x14ac:dyDescent="0.25">
      <c r="A1120" s="1" t="s">
        <v>2941</v>
      </c>
      <c r="B1120" s="1" t="s">
        <v>2942</v>
      </c>
      <c r="C1120" s="1" t="s">
        <v>2943</v>
      </c>
    </row>
    <row r="1121" spans="1:3" x14ac:dyDescent="0.25">
      <c r="A1121" s="1" t="s">
        <v>2944</v>
      </c>
      <c r="B1121" s="1" t="s">
        <v>2945</v>
      </c>
      <c r="C1121" s="1" t="s">
        <v>2946</v>
      </c>
    </row>
    <row r="1122" spans="1:3" x14ac:dyDescent="0.25">
      <c r="A1122" s="1" t="s">
        <v>2947</v>
      </c>
      <c r="B1122" s="1" t="s">
        <v>2948</v>
      </c>
      <c r="C1122" s="1" t="s">
        <v>2949</v>
      </c>
    </row>
    <row r="1123" spans="1:3" x14ac:dyDescent="0.25">
      <c r="A1123" s="1" t="s">
        <v>2950</v>
      </c>
      <c r="B1123" s="1" t="s">
        <v>2951</v>
      </c>
      <c r="C1123" s="1" t="s">
        <v>2952</v>
      </c>
    </row>
    <row r="1124" spans="1:3" x14ac:dyDescent="0.25">
      <c r="A1124" s="1" t="s">
        <v>2953</v>
      </c>
      <c r="B1124" s="1" t="s">
        <v>2954</v>
      </c>
      <c r="C1124" s="1" t="s">
        <v>2955</v>
      </c>
    </row>
    <row r="1125" spans="1:3" x14ac:dyDescent="0.25">
      <c r="A1125" s="1" t="s">
        <v>2956</v>
      </c>
      <c r="B1125" s="1" t="s">
        <v>2957</v>
      </c>
      <c r="C1125" s="1" t="s">
        <v>2958</v>
      </c>
    </row>
    <row r="1126" spans="1:3" x14ac:dyDescent="0.25">
      <c r="A1126" s="1" t="s">
        <v>2959</v>
      </c>
      <c r="B1126" s="1" t="s">
        <v>2960</v>
      </c>
      <c r="C1126" s="1" t="s">
        <v>2961</v>
      </c>
    </row>
    <row r="1127" spans="1:3" x14ac:dyDescent="0.25">
      <c r="A1127" s="1" t="s">
        <v>2962</v>
      </c>
      <c r="B1127" s="1" t="s">
        <v>2963</v>
      </c>
      <c r="C1127" s="1" t="s">
        <v>2964</v>
      </c>
    </row>
    <row r="1128" spans="1:3" x14ac:dyDescent="0.25">
      <c r="A1128" s="1" t="s">
        <v>2965</v>
      </c>
      <c r="B1128" s="1" t="s">
        <v>2966</v>
      </c>
      <c r="C1128" s="1" t="s">
        <v>2967</v>
      </c>
    </row>
    <row r="1129" spans="1:3" x14ac:dyDescent="0.25">
      <c r="A1129" s="1" t="s">
        <v>2968</v>
      </c>
      <c r="B1129" s="1" t="s">
        <v>2969</v>
      </c>
      <c r="C1129" s="1" t="s">
        <v>2970</v>
      </c>
    </row>
    <row r="1130" spans="1:3" x14ac:dyDescent="0.25">
      <c r="A1130" s="1" t="s">
        <v>2971</v>
      </c>
      <c r="B1130" s="1" t="s">
        <v>2972</v>
      </c>
      <c r="C1130" s="1" t="s">
        <v>2973</v>
      </c>
    </row>
    <row r="1131" spans="1:3" x14ac:dyDescent="0.25">
      <c r="A1131" s="1" t="s">
        <v>2974</v>
      </c>
      <c r="B1131" s="1" t="s">
        <v>2975</v>
      </c>
      <c r="C1131" s="1" t="s">
        <v>2976</v>
      </c>
    </row>
    <row r="1132" spans="1:3" x14ac:dyDescent="0.25">
      <c r="A1132" s="1" t="s">
        <v>2977</v>
      </c>
      <c r="B1132" s="1" t="s">
        <v>2978</v>
      </c>
      <c r="C1132" s="1" t="s">
        <v>2979</v>
      </c>
    </row>
    <row r="1133" spans="1:3" x14ac:dyDescent="0.25">
      <c r="A1133" s="1" t="s">
        <v>2980</v>
      </c>
      <c r="B1133" s="1" t="s">
        <v>2981</v>
      </c>
      <c r="C1133" s="1" t="s">
        <v>2982</v>
      </c>
    </row>
    <row r="1134" spans="1:3" x14ac:dyDescent="0.25">
      <c r="A1134" s="1" t="s">
        <v>2983</v>
      </c>
      <c r="B1134" s="1" t="s">
        <v>2984</v>
      </c>
      <c r="C1134" s="1" t="s">
        <v>2985</v>
      </c>
    </row>
    <row r="1135" spans="1:3" x14ac:dyDescent="0.25">
      <c r="A1135" s="1" t="s">
        <v>2986</v>
      </c>
      <c r="B1135" s="1" t="s">
        <v>2987</v>
      </c>
      <c r="C1135" s="1" t="s">
        <v>2988</v>
      </c>
    </row>
    <row r="1136" spans="1:3" x14ac:dyDescent="0.25">
      <c r="A1136" s="1" t="s">
        <v>2989</v>
      </c>
      <c r="B1136" s="1" t="s">
        <v>2990</v>
      </c>
      <c r="C1136" s="1" t="s">
        <v>2991</v>
      </c>
    </row>
    <row r="1137" spans="1:3" x14ac:dyDescent="0.25">
      <c r="A1137" s="1" t="s">
        <v>2992</v>
      </c>
      <c r="B1137" s="1" t="s">
        <v>2993</v>
      </c>
      <c r="C1137" s="1" t="s">
        <v>2994</v>
      </c>
    </row>
    <row r="1138" spans="1:3" x14ac:dyDescent="0.25">
      <c r="A1138" s="1" t="s">
        <v>2995</v>
      </c>
      <c r="B1138" s="1" t="s">
        <v>2996</v>
      </c>
      <c r="C1138" s="1" t="s">
        <v>2997</v>
      </c>
    </row>
    <row r="1139" spans="1:3" x14ac:dyDescent="0.25">
      <c r="A1139" s="1" t="s">
        <v>2998</v>
      </c>
      <c r="B1139" s="1" t="s">
        <v>2999</v>
      </c>
      <c r="C1139" s="1" t="s">
        <v>3000</v>
      </c>
    </row>
    <row r="1140" spans="1:3" x14ac:dyDescent="0.25">
      <c r="A1140" s="1" t="s">
        <v>3001</v>
      </c>
      <c r="B1140" s="1" t="s">
        <v>3002</v>
      </c>
      <c r="C1140" s="1" t="s">
        <v>3003</v>
      </c>
    </row>
    <row r="1141" spans="1:3" x14ac:dyDescent="0.25">
      <c r="A1141" s="1" t="s">
        <v>3004</v>
      </c>
      <c r="B1141" s="1" t="s">
        <v>3005</v>
      </c>
      <c r="C1141" s="1" t="s">
        <v>3006</v>
      </c>
    </row>
    <row r="1142" spans="1:3" x14ac:dyDescent="0.25">
      <c r="A1142" s="1" t="s">
        <v>3007</v>
      </c>
      <c r="B1142" s="1" t="s">
        <v>3008</v>
      </c>
      <c r="C1142" s="1" t="s">
        <v>3009</v>
      </c>
    </row>
    <row r="1143" spans="1:3" x14ac:dyDescent="0.25">
      <c r="A1143" s="1" t="s">
        <v>3010</v>
      </c>
      <c r="B1143" s="1" t="s">
        <v>3011</v>
      </c>
      <c r="C1143" s="1" t="s">
        <v>3012</v>
      </c>
    </row>
    <row r="1144" spans="1:3" x14ac:dyDescent="0.25">
      <c r="A1144" s="1" t="s">
        <v>3013</v>
      </c>
      <c r="B1144" s="1" t="s">
        <v>3014</v>
      </c>
      <c r="C1144" s="1" t="s">
        <v>3015</v>
      </c>
    </row>
    <row r="1145" spans="1:3" x14ac:dyDescent="0.25">
      <c r="A1145" s="1" t="s">
        <v>3016</v>
      </c>
      <c r="B1145" s="1" t="s">
        <v>3017</v>
      </c>
      <c r="C1145" s="1" t="s">
        <v>3018</v>
      </c>
    </row>
    <row r="1146" spans="1:3" x14ac:dyDescent="0.25">
      <c r="A1146" s="1" t="s">
        <v>3019</v>
      </c>
      <c r="B1146" s="1" t="s">
        <v>3020</v>
      </c>
      <c r="C1146" s="1" t="s">
        <v>3021</v>
      </c>
    </row>
    <row r="1147" spans="1:3" x14ac:dyDescent="0.25">
      <c r="A1147" s="1" t="s">
        <v>3022</v>
      </c>
      <c r="B1147" s="1" t="s">
        <v>3023</v>
      </c>
      <c r="C1147" s="1" t="s">
        <v>3024</v>
      </c>
    </row>
    <row r="1148" spans="1:3" x14ac:dyDescent="0.25">
      <c r="A1148" s="1" t="s">
        <v>3025</v>
      </c>
      <c r="B1148" s="1" t="s">
        <v>3026</v>
      </c>
      <c r="C1148" s="1" t="s">
        <v>3027</v>
      </c>
    </row>
    <row r="1149" spans="1:3" x14ac:dyDescent="0.25">
      <c r="A1149" s="1" t="s">
        <v>3028</v>
      </c>
      <c r="B1149" s="1" t="s">
        <v>3029</v>
      </c>
      <c r="C1149" s="1" t="s">
        <v>3030</v>
      </c>
    </row>
    <row r="1150" spans="1:3" x14ac:dyDescent="0.25">
      <c r="A1150" s="1" t="s">
        <v>3031</v>
      </c>
      <c r="B1150" s="1" t="s">
        <v>3032</v>
      </c>
      <c r="C1150" s="1" t="s">
        <v>3033</v>
      </c>
    </row>
    <row r="1151" spans="1:3" x14ac:dyDescent="0.25">
      <c r="A1151" s="1" t="s">
        <v>3034</v>
      </c>
      <c r="B1151" s="1" t="s">
        <v>3035</v>
      </c>
      <c r="C1151" s="1" t="s">
        <v>3036</v>
      </c>
    </row>
    <row r="1152" spans="1:3" x14ac:dyDescent="0.25">
      <c r="A1152" s="1" t="s">
        <v>3037</v>
      </c>
      <c r="B1152" s="1" t="s">
        <v>3038</v>
      </c>
      <c r="C1152" s="1" t="s">
        <v>3039</v>
      </c>
    </row>
    <row r="1153" spans="1:3" x14ac:dyDescent="0.25">
      <c r="A1153" s="1" t="s">
        <v>3040</v>
      </c>
      <c r="B1153" s="1" t="s">
        <v>3041</v>
      </c>
      <c r="C1153" s="1" t="s">
        <v>3042</v>
      </c>
    </row>
    <row r="1154" spans="1:3" x14ac:dyDescent="0.25">
      <c r="A1154" s="1" t="s">
        <v>3043</v>
      </c>
      <c r="B1154" s="1" t="s">
        <v>3044</v>
      </c>
      <c r="C1154" s="1" t="s">
        <v>3045</v>
      </c>
    </row>
    <row r="1155" spans="1:3" x14ac:dyDescent="0.25">
      <c r="A1155" s="1" t="s">
        <v>3046</v>
      </c>
      <c r="B1155" s="1" t="s">
        <v>3047</v>
      </c>
      <c r="C1155" s="1" t="s">
        <v>3048</v>
      </c>
    </row>
    <row r="1156" spans="1:3" x14ac:dyDescent="0.25">
      <c r="A1156" s="1" t="s">
        <v>3049</v>
      </c>
      <c r="B1156" s="1" t="s">
        <v>3050</v>
      </c>
      <c r="C1156" s="1" t="s">
        <v>3051</v>
      </c>
    </row>
    <row r="1157" spans="1:3" x14ac:dyDescent="0.25">
      <c r="A1157" s="1" t="s">
        <v>3052</v>
      </c>
      <c r="B1157" s="1" t="s">
        <v>3053</v>
      </c>
      <c r="C1157" s="1" t="s">
        <v>3054</v>
      </c>
    </row>
    <row r="1158" spans="1:3" x14ac:dyDescent="0.25">
      <c r="A1158" s="1" t="s">
        <v>3055</v>
      </c>
      <c r="B1158" s="1" t="s">
        <v>3056</v>
      </c>
      <c r="C1158" s="1" t="s">
        <v>3057</v>
      </c>
    </row>
    <row r="1159" spans="1:3" x14ac:dyDescent="0.25">
      <c r="A1159" s="1" t="s">
        <v>3058</v>
      </c>
      <c r="B1159" s="1" t="s">
        <v>3059</v>
      </c>
      <c r="C1159" s="1" t="s">
        <v>3060</v>
      </c>
    </row>
    <row r="1160" spans="1:3" x14ac:dyDescent="0.25">
      <c r="A1160" s="1" t="s">
        <v>3061</v>
      </c>
      <c r="B1160" s="1" t="s">
        <v>3062</v>
      </c>
      <c r="C1160" s="1" t="s">
        <v>3063</v>
      </c>
    </row>
    <row r="1161" spans="1:3" x14ac:dyDescent="0.25">
      <c r="A1161" s="1" t="s">
        <v>3064</v>
      </c>
      <c r="B1161" s="1" t="s">
        <v>3065</v>
      </c>
      <c r="C1161" s="1" t="s">
        <v>3066</v>
      </c>
    </row>
    <row r="1162" spans="1:3" x14ac:dyDescent="0.25">
      <c r="A1162" s="1" t="s">
        <v>3067</v>
      </c>
      <c r="B1162" s="1" t="s">
        <v>3068</v>
      </c>
      <c r="C1162" s="1" t="s">
        <v>3069</v>
      </c>
    </row>
    <row r="1163" spans="1:3" x14ac:dyDescent="0.25">
      <c r="A1163" s="1" t="s">
        <v>3070</v>
      </c>
      <c r="B1163" s="1" t="s">
        <v>3071</v>
      </c>
      <c r="C1163" s="1" t="s">
        <v>3072</v>
      </c>
    </row>
    <row r="1164" spans="1:3" x14ac:dyDescent="0.25">
      <c r="A1164" s="1" t="s">
        <v>3073</v>
      </c>
      <c r="B1164" s="1" t="s">
        <v>3074</v>
      </c>
      <c r="C1164" s="1" t="s">
        <v>3075</v>
      </c>
    </row>
    <row r="1165" spans="1:3" x14ac:dyDescent="0.25">
      <c r="A1165" s="1" t="s">
        <v>3076</v>
      </c>
      <c r="B1165" s="1" t="s">
        <v>3077</v>
      </c>
      <c r="C1165" s="1" t="s">
        <v>3078</v>
      </c>
    </row>
    <row r="1166" spans="1:3" x14ac:dyDescent="0.25">
      <c r="A1166" s="1" t="s">
        <v>3079</v>
      </c>
      <c r="B1166" s="1" t="s">
        <v>3080</v>
      </c>
      <c r="C1166" s="1" t="s">
        <v>3081</v>
      </c>
    </row>
    <row r="1167" spans="1:3" x14ac:dyDescent="0.25">
      <c r="A1167" s="1" t="s">
        <v>3082</v>
      </c>
      <c r="B1167" s="1" t="s">
        <v>3083</v>
      </c>
      <c r="C1167" s="1" t="s">
        <v>3084</v>
      </c>
    </row>
    <row r="1168" spans="1:3" x14ac:dyDescent="0.25">
      <c r="A1168" s="1" t="s">
        <v>3085</v>
      </c>
      <c r="B1168" s="1" t="s">
        <v>3086</v>
      </c>
      <c r="C1168" s="1" t="s">
        <v>3087</v>
      </c>
    </row>
    <row r="1169" spans="1:13" x14ac:dyDescent="0.25">
      <c r="A1169" s="1" t="s">
        <v>3088</v>
      </c>
      <c r="B1169" s="1" t="s">
        <v>3089</v>
      </c>
      <c r="C1169" s="1" t="s">
        <v>3090</v>
      </c>
    </row>
    <row r="1170" spans="1:13" x14ac:dyDescent="0.25">
      <c r="A1170" s="1" t="s">
        <v>3091</v>
      </c>
      <c r="B1170" s="1" t="s">
        <v>3092</v>
      </c>
      <c r="C1170" s="1" t="s">
        <v>3093</v>
      </c>
    </row>
    <row r="1171" spans="1:13" x14ac:dyDescent="0.25">
      <c r="A1171" s="1" t="s">
        <v>3094</v>
      </c>
      <c r="B1171" s="1" t="s">
        <v>3095</v>
      </c>
      <c r="C1171" s="1" t="s">
        <v>3096</v>
      </c>
    </row>
    <row r="1172" spans="1:13" x14ac:dyDescent="0.25">
      <c r="A1172" s="1" t="s">
        <v>3097</v>
      </c>
      <c r="B1172" s="1" t="s">
        <v>3098</v>
      </c>
      <c r="C1172" s="1" t="s">
        <v>3099</v>
      </c>
    </row>
    <row r="1173" spans="1:13" x14ac:dyDescent="0.25">
      <c r="A1173" s="1" t="s">
        <v>3100</v>
      </c>
      <c r="B1173" s="1" t="s">
        <v>3101</v>
      </c>
      <c r="C1173" s="1" t="s">
        <v>3102</v>
      </c>
    </row>
    <row r="1174" spans="1:13" x14ac:dyDescent="0.25">
      <c r="A1174" s="1" t="s">
        <v>3103</v>
      </c>
      <c r="B1174" s="1" t="s">
        <v>3104</v>
      </c>
      <c r="C1174" s="1" t="s">
        <v>3105</v>
      </c>
    </row>
    <row r="1175" spans="1:13" x14ac:dyDescent="0.25">
      <c r="A1175" s="1" t="s">
        <v>3106</v>
      </c>
      <c r="B1175" s="1" t="s">
        <v>3107</v>
      </c>
      <c r="C1175" s="1" t="s">
        <v>3108</v>
      </c>
    </row>
    <row r="1176" spans="1:13" x14ac:dyDescent="0.25">
      <c r="A1176" s="1" t="s">
        <v>3109</v>
      </c>
      <c r="B1176" s="1" t="s">
        <v>3110</v>
      </c>
      <c r="C1176" s="1" t="s">
        <v>3111</v>
      </c>
    </row>
    <row r="1177" spans="1:13" x14ac:dyDescent="0.25">
      <c r="A1177" s="1" t="s">
        <v>3112</v>
      </c>
      <c r="B1177" s="1" t="s">
        <v>3113</v>
      </c>
      <c r="C1177" s="1">
        <v>41</v>
      </c>
    </row>
    <row r="1179" spans="1:13" ht="18.75" x14ac:dyDescent="0.25">
      <c r="A1179" s="46" t="s">
        <v>3114</v>
      </c>
      <c r="B1179" s="46"/>
      <c r="C1179" s="46"/>
      <c r="D1179" s="46"/>
      <c r="E1179" s="46"/>
      <c r="F1179" s="46"/>
      <c r="G1179" s="46"/>
      <c r="H1179" s="46"/>
      <c r="I1179" s="46"/>
      <c r="J1179" s="46"/>
      <c r="K1179" s="46"/>
      <c r="L1179" s="46"/>
      <c r="M1179" s="46"/>
    </row>
    <row r="1180" spans="1:13" ht="41.25" customHeight="1" x14ac:dyDescent="0.25">
      <c r="A1180" s="45" t="s">
        <v>3115</v>
      </c>
      <c r="B1180" s="45"/>
      <c r="C1180" s="45"/>
      <c r="D1180" s="45"/>
      <c r="E1180" s="45"/>
      <c r="F1180" s="45"/>
      <c r="G1180" s="45"/>
      <c r="H1180" s="45"/>
      <c r="I1180" s="45"/>
      <c r="J1180" s="45"/>
      <c r="K1180" s="45"/>
      <c r="L1180" s="45"/>
      <c r="M1180" s="45"/>
    </row>
    <row r="1181" spans="1:13" x14ac:dyDescent="0.25">
      <c r="A1181" s="1" t="s">
        <v>1785</v>
      </c>
      <c r="B1181" s="1" t="s">
        <v>1786</v>
      </c>
      <c r="C1181" s="1" t="s">
        <v>1787</v>
      </c>
    </row>
    <row r="1182" spans="1:13" x14ac:dyDescent="0.25">
      <c r="A1182" s="2" t="s">
        <v>3116</v>
      </c>
      <c r="B1182" s="1" t="s">
        <v>3117</v>
      </c>
      <c r="C1182" s="1">
        <v>175370780672</v>
      </c>
    </row>
    <row r="1183" spans="1:13" x14ac:dyDescent="0.25">
      <c r="A1183" s="2" t="s">
        <v>3118</v>
      </c>
      <c r="B1183" s="1" t="s">
        <v>3119</v>
      </c>
      <c r="C1183" s="1">
        <v>139428577280</v>
      </c>
    </row>
    <row r="1184" spans="1:13" x14ac:dyDescent="0.25">
      <c r="A1184" s="2" t="s">
        <v>3120</v>
      </c>
      <c r="B1184" s="1" t="s">
        <v>3121</v>
      </c>
      <c r="C1184" s="1">
        <v>53347377152</v>
      </c>
    </row>
    <row r="1185" spans="1:3" x14ac:dyDescent="0.25">
      <c r="A1185" s="2" t="s">
        <v>3122</v>
      </c>
      <c r="B1185" s="1" t="s">
        <v>3123</v>
      </c>
      <c r="C1185" s="1">
        <v>39521918976</v>
      </c>
    </row>
    <row r="1186" spans="1:3" x14ac:dyDescent="0.25">
      <c r="A1186" s="2" t="s">
        <v>3124</v>
      </c>
      <c r="B1186" s="1" t="s">
        <v>3125</v>
      </c>
      <c r="C1186" s="1">
        <v>19778918400</v>
      </c>
    </row>
    <row r="1187" spans="1:3" x14ac:dyDescent="0.25">
      <c r="A1187" s="2" t="s">
        <v>3126</v>
      </c>
      <c r="B1187" s="1" t="s">
        <v>3127</v>
      </c>
      <c r="C1187" s="1">
        <v>19143663616</v>
      </c>
    </row>
    <row r="1188" spans="1:3" x14ac:dyDescent="0.25">
      <c r="A1188" s="2" t="s">
        <v>3128</v>
      </c>
      <c r="B1188" s="1" t="s">
        <v>3129</v>
      </c>
      <c r="C1188" s="1">
        <v>6208481792</v>
      </c>
    </row>
    <row r="1189" spans="1:3" x14ac:dyDescent="0.25">
      <c r="A1189" s="2" t="s">
        <v>3130</v>
      </c>
      <c r="B1189" s="1" t="s">
        <v>3131</v>
      </c>
      <c r="C1189" s="1">
        <v>5335140864</v>
      </c>
    </row>
    <row r="1190" spans="1:3" x14ac:dyDescent="0.25">
      <c r="A1190" s="2" t="s">
        <v>3132</v>
      </c>
      <c r="B1190" s="1" t="s">
        <v>3133</v>
      </c>
      <c r="C1190" s="1">
        <v>5233420288</v>
      </c>
    </row>
    <row r="1191" spans="1:3" x14ac:dyDescent="0.25">
      <c r="A1191" s="2" t="s">
        <v>3134</v>
      </c>
      <c r="B1191" s="1" t="s">
        <v>3135</v>
      </c>
      <c r="C1191" s="1">
        <v>4947381760</v>
      </c>
    </row>
    <row r="1192" spans="1:3" x14ac:dyDescent="0.25">
      <c r="A1192" s="2" t="s">
        <v>3136</v>
      </c>
      <c r="B1192" s="1" t="s">
        <v>3137</v>
      </c>
      <c r="C1192" s="1">
        <v>4207347200</v>
      </c>
    </row>
    <row r="1193" spans="1:3" x14ac:dyDescent="0.25">
      <c r="A1193" s="2" t="s">
        <v>3138</v>
      </c>
      <c r="B1193" s="1" t="s">
        <v>3139</v>
      </c>
      <c r="C1193" s="1">
        <v>3875564032</v>
      </c>
    </row>
    <row r="1194" spans="1:3" x14ac:dyDescent="0.25">
      <c r="A1194" s="2" t="s">
        <v>3140</v>
      </c>
      <c r="B1194" s="1" t="s">
        <v>3141</v>
      </c>
      <c r="C1194" s="1">
        <v>3670629376</v>
      </c>
    </row>
    <row r="1195" spans="1:3" x14ac:dyDescent="0.25">
      <c r="A1195" s="2" t="s">
        <v>3142</v>
      </c>
      <c r="B1195" s="1" t="s">
        <v>3143</v>
      </c>
      <c r="C1195" s="1">
        <v>3158691840</v>
      </c>
    </row>
    <row r="1196" spans="1:3" x14ac:dyDescent="0.25">
      <c r="A1196" s="2" t="s">
        <v>3144</v>
      </c>
      <c r="B1196" s="1" t="s">
        <v>3145</v>
      </c>
      <c r="C1196" s="1">
        <v>2968706304</v>
      </c>
    </row>
    <row r="1197" spans="1:3" x14ac:dyDescent="0.25">
      <c r="A1197" s="2" t="s">
        <v>3146</v>
      </c>
      <c r="B1197" s="1" t="s">
        <v>3147</v>
      </c>
      <c r="C1197" s="1">
        <v>2424341248</v>
      </c>
    </row>
    <row r="1198" spans="1:3" x14ac:dyDescent="0.25">
      <c r="A1198" s="2" t="s">
        <v>3148</v>
      </c>
      <c r="B1198" s="1" t="s">
        <v>3149</v>
      </c>
      <c r="C1198" s="1">
        <v>2272770560</v>
      </c>
    </row>
    <row r="1199" spans="1:3" x14ac:dyDescent="0.25">
      <c r="A1199" s="2" t="s">
        <v>3150</v>
      </c>
      <c r="B1199" s="1" t="s">
        <v>3151</v>
      </c>
      <c r="C1199" s="1">
        <v>2252107264</v>
      </c>
    </row>
    <row r="1200" spans="1:3" x14ac:dyDescent="0.25">
      <c r="A1200" s="2" t="s">
        <v>3152</v>
      </c>
      <c r="B1200" s="1" t="s">
        <v>3153</v>
      </c>
      <c r="C1200" s="1">
        <v>2244722688</v>
      </c>
    </row>
    <row r="1201" spans="1:3" x14ac:dyDescent="0.25">
      <c r="A1201" s="2" t="s">
        <v>3154</v>
      </c>
      <c r="B1201" s="1" t="s">
        <v>3155</v>
      </c>
      <c r="C1201" s="1">
        <v>1558867584</v>
      </c>
    </row>
    <row r="1202" spans="1:3" x14ac:dyDescent="0.25">
      <c r="A1202" s="2" t="s">
        <v>3156</v>
      </c>
      <c r="B1202" s="1" t="s">
        <v>3157</v>
      </c>
      <c r="C1202" s="1">
        <v>1313222784</v>
      </c>
    </row>
    <row r="1203" spans="1:3" x14ac:dyDescent="0.25">
      <c r="A1203" s="2" t="s">
        <v>3158</v>
      </c>
      <c r="B1203" s="1" t="s">
        <v>3159</v>
      </c>
      <c r="C1203" s="1">
        <v>1252412288</v>
      </c>
    </row>
    <row r="1204" spans="1:3" x14ac:dyDescent="0.25">
      <c r="A1204" s="2" t="s">
        <v>3160</v>
      </c>
      <c r="B1204" s="1" t="s">
        <v>3161</v>
      </c>
      <c r="C1204" s="1">
        <v>953369984</v>
      </c>
    </row>
    <row r="1205" spans="1:3" x14ac:dyDescent="0.25">
      <c r="A1205" s="2" t="s">
        <v>3162</v>
      </c>
      <c r="B1205" s="1" t="s">
        <v>3163</v>
      </c>
      <c r="C1205" s="1">
        <v>914149632</v>
      </c>
    </row>
    <row r="1206" spans="1:3" x14ac:dyDescent="0.25">
      <c r="A1206" s="2" t="s">
        <v>3164</v>
      </c>
      <c r="B1206" s="1" t="s">
        <v>3165</v>
      </c>
      <c r="C1206" s="1">
        <v>684410624</v>
      </c>
    </row>
    <row r="1207" spans="1:3" x14ac:dyDescent="0.25">
      <c r="A1207" s="2" t="s">
        <v>3166</v>
      </c>
      <c r="B1207" s="1" t="s">
        <v>3167</v>
      </c>
      <c r="C1207" s="1">
        <v>662431040</v>
      </c>
    </row>
    <row r="1208" spans="1:3" x14ac:dyDescent="0.25">
      <c r="A1208" s="2" t="s">
        <v>3168</v>
      </c>
      <c r="B1208" s="1" t="s">
        <v>3169</v>
      </c>
      <c r="C1208" s="1">
        <v>631109184</v>
      </c>
    </row>
    <row r="1209" spans="1:3" x14ac:dyDescent="0.25">
      <c r="A1209" s="2" t="s">
        <v>3170</v>
      </c>
      <c r="B1209" s="1" t="s">
        <v>3171</v>
      </c>
      <c r="C1209" s="1">
        <v>576816576</v>
      </c>
    </row>
    <row r="1210" spans="1:3" x14ac:dyDescent="0.25">
      <c r="A1210" s="2" t="s">
        <v>3172</v>
      </c>
      <c r="B1210" s="1" t="s">
        <v>3173</v>
      </c>
      <c r="C1210" s="1">
        <v>507547040</v>
      </c>
    </row>
    <row r="1211" spans="1:3" x14ac:dyDescent="0.25">
      <c r="A1211" s="2" t="s">
        <v>3174</v>
      </c>
      <c r="B1211" s="1" t="s">
        <v>3175</v>
      </c>
      <c r="C1211" s="1">
        <v>448393664</v>
      </c>
    </row>
    <row r="1212" spans="1:3" x14ac:dyDescent="0.25">
      <c r="A1212" s="2" t="s">
        <v>3176</v>
      </c>
      <c r="B1212" s="1" t="s">
        <v>3177</v>
      </c>
      <c r="C1212" s="1">
        <v>400364256</v>
      </c>
    </row>
    <row r="1213" spans="1:3" x14ac:dyDescent="0.25">
      <c r="A1213" s="2" t="s">
        <v>3178</v>
      </c>
      <c r="B1213" s="1" t="s">
        <v>3179</v>
      </c>
      <c r="C1213" s="1">
        <v>347754080</v>
      </c>
    </row>
    <row r="1214" spans="1:3" x14ac:dyDescent="0.25">
      <c r="A1214" s="2" t="s">
        <v>3180</v>
      </c>
      <c r="B1214" s="1" t="s">
        <v>3181</v>
      </c>
      <c r="C1214" s="1">
        <v>305696320</v>
      </c>
    </row>
    <row r="1215" spans="1:3" x14ac:dyDescent="0.25">
      <c r="A1215" s="2" t="s">
        <v>3182</v>
      </c>
      <c r="B1215" s="1" t="s">
        <v>3183</v>
      </c>
      <c r="C1215" s="1">
        <v>273596416</v>
      </c>
    </row>
    <row r="1216" spans="1:3" x14ac:dyDescent="0.25">
      <c r="A1216" s="2" t="s">
        <v>3184</v>
      </c>
      <c r="B1216" s="1" t="s">
        <v>3185</v>
      </c>
      <c r="C1216" s="1">
        <v>244635024</v>
      </c>
    </row>
    <row r="1217" spans="1:3" x14ac:dyDescent="0.25">
      <c r="A1217" s="2" t="s">
        <v>3186</v>
      </c>
      <c r="B1217" s="1" t="s">
        <v>3187</v>
      </c>
      <c r="C1217" s="1">
        <v>208243056</v>
      </c>
    </row>
    <row r="1218" spans="1:3" x14ac:dyDescent="0.25">
      <c r="A1218" s="2" t="s">
        <v>3188</v>
      </c>
      <c r="B1218" s="1" t="s">
        <v>3189</v>
      </c>
      <c r="C1218" s="1">
        <v>201918048</v>
      </c>
    </row>
    <row r="1219" spans="1:3" x14ac:dyDescent="0.25">
      <c r="A1219" s="2" t="s">
        <v>3190</v>
      </c>
      <c r="B1219" s="1" t="s">
        <v>3191</v>
      </c>
      <c r="C1219" s="1">
        <v>196164288</v>
      </c>
    </row>
    <row r="1220" spans="1:3" x14ac:dyDescent="0.25">
      <c r="A1220" s="2" t="s">
        <v>3192</v>
      </c>
      <c r="B1220" s="1" t="s">
        <v>3193</v>
      </c>
      <c r="C1220" s="1">
        <v>155877232</v>
      </c>
    </row>
    <row r="1221" spans="1:3" x14ac:dyDescent="0.25">
      <c r="A1221" s="2" t="s">
        <v>3194</v>
      </c>
      <c r="B1221" s="1" t="s">
        <v>3195</v>
      </c>
      <c r="C1221" s="1">
        <v>125737672</v>
      </c>
    </row>
    <row r="1222" spans="1:3" x14ac:dyDescent="0.25">
      <c r="A1222" s="2" t="s">
        <v>3196</v>
      </c>
      <c r="B1222" s="1" t="s">
        <v>3197</v>
      </c>
      <c r="C1222" s="1">
        <v>123064720</v>
      </c>
    </row>
    <row r="1223" spans="1:3" x14ac:dyDescent="0.25">
      <c r="A1223" s="2" t="s">
        <v>3198</v>
      </c>
      <c r="B1223" s="1" t="s">
        <v>3199</v>
      </c>
      <c r="C1223" s="1">
        <v>111578032</v>
      </c>
    </row>
    <row r="1224" spans="1:3" x14ac:dyDescent="0.25">
      <c r="A1224" s="2" t="s">
        <v>3200</v>
      </c>
      <c r="B1224" s="1" t="s">
        <v>3201</v>
      </c>
      <c r="C1224" s="1">
        <v>55759408</v>
      </c>
    </row>
    <row r="1225" spans="1:3" x14ac:dyDescent="0.25">
      <c r="A1225" s="2" t="s">
        <v>3202</v>
      </c>
      <c r="B1225" s="1" t="s">
        <v>3203</v>
      </c>
      <c r="C1225" s="1">
        <v>55150972</v>
      </c>
    </row>
    <row r="1226" spans="1:3" x14ac:dyDescent="0.25">
      <c r="A1226" s="2" t="s">
        <v>3204</v>
      </c>
      <c r="B1226" s="1" t="s">
        <v>3205</v>
      </c>
      <c r="C1226" s="1">
        <v>51652912</v>
      </c>
    </row>
    <row r="1227" spans="1:3" x14ac:dyDescent="0.25">
      <c r="A1227" s="2" t="s">
        <v>3206</v>
      </c>
      <c r="B1227" s="1" t="s">
        <v>3207</v>
      </c>
      <c r="C1227" s="1">
        <v>25182352</v>
      </c>
    </row>
    <row r="1228" spans="1:3" x14ac:dyDescent="0.25">
      <c r="A1228" s="2" t="s">
        <v>3208</v>
      </c>
      <c r="B1228" s="1" t="s">
        <v>3209</v>
      </c>
      <c r="C1228" s="1">
        <v>23573018</v>
      </c>
    </row>
    <row r="1229" spans="1:3" x14ac:dyDescent="0.25">
      <c r="A1229" s="2" t="s">
        <v>3210</v>
      </c>
      <c r="B1229" s="1" t="s">
        <v>3211</v>
      </c>
      <c r="C1229" s="1">
        <v>23046276</v>
      </c>
    </row>
    <row r="1230" spans="1:3" x14ac:dyDescent="0.25">
      <c r="A1230" s="2" t="s">
        <v>3212</v>
      </c>
      <c r="B1230" s="1" t="s">
        <v>3213</v>
      </c>
      <c r="C1230" s="1">
        <v>21973252</v>
      </c>
    </row>
    <row r="1231" spans="1:3" x14ac:dyDescent="0.25">
      <c r="A1231" s="2" t="s">
        <v>3214</v>
      </c>
      <c r="B1231" s="1" t="s">
        <v>3215</v>
      </c>
      <c r="C1231" s="1">
        <v>18461090</v>
      </c>
    </row>
    <row r="1232" spans="1:3" x14ac:dyDescent="0.25">
      <c r="A1232" s="2" t="s">
        <v>3216</v>
      </c>
      <c r="B1232" s="1" t="s">
        <v>3217</v>
      </c>
      <c r="C1232" s="1">
        <v>10439283</v>
      </c>
    </row>
    <row r="1234" spans="1:13" ht="18.75" x14ac:dyDescent="0.25">
      <c r="A1234" s="46" t="s">
        <v>29</v>
      </c>
      <c r="B1234" s="46"/>
      <c r="C1234" s="46"/>
      <c r="D1234" s="46"/>
      <c r="E1234" s="46"/>
      <c r="F1234" s="46"/>
      <c r="G1234" s="46"/>
      <c r="H1234" s="46"/>
      <c r="I1234" s="46"/>
      <c r="J1234" s="46"/>
      <c r="K1234" s="46"/>
      <c r="L1234" s="46"/>
      <c r="M1234" s="46"/>
    </row>
    <row r="1235" spans="1:13" ht="216" customHeight="1" x14ac:dyDescent="0.25">
      <c r="A1235" s="45" t="s">
        <v>3218</v>
      </c>
      <c r="B1235" s="45"/>
      <c r="C1235" s="45"/>
      <c r="D1235" s="45"/>
      <c r="E1235" s="45"/>
      <c r="F1235" s="45"/>
      <c r="G1235" s="45"/>
      <c r="H1235" s="45"/>
      <c r="I1235" s="45"/>
      <c r="J1235" s="45"/>
      <c r="K1235" s="45"/>
      <c r="L1235" s="45"/>
      <c r="M1235" s="45"/>
    </row>
    <row r="1236" spans="1:13" x14ac:dyDescent="0.25">
      <c r="A1236" s="1" t="s">
        <v>1785</v>
      </c>
      <c r="B1236" s="1" t="s">
        <v>1786</v>
      </c>
      <c r="C1236" s="1" t="s">
        <v>1787</v>
      </c>
    </row>
    <row r="1237" spans="1:13" x14ac:dyDescent="0.25">
      <c r="A1237" s="28" t="s">
        <v>3219</v>
      </c>
      <c r="B1237" s="28" t="s">
        <v>3220</v>
      </c>
      <c r="C1237" s="28" t="s">
        <v>3221</v>
      </c>
    </row>
    <row r="1238" spans="1:13" x14ac:dyDescent="0.25">
      <c r="A1238" s="28" t="s">
        <v>3222</v>
      </c>
      <c r="B1238" s="28" t="s">
        <v>3223</v>
      </c>
      <c r="C1238" s="28" t="s">
        <v>3224</v>
      </c>
    </row>
    <row r="1239" spans="1:13" x14ac:dyDescent="0.25">
      <c r="A1239" s="1" t="s">
        <v>3225</v>
      </c>
      <c r="B1239" s="1" t="s">
        <v>3226</v>
      </c>
      <c r="C1239" s="1" t="s">
        <v>3227</v>
      </c>
    </row>
    <row r="1240" spans="1:13" x14ac:dyDescent="0.25">
      <c r="A1240" s="1" t="s">
        <v>3228</v>
      </c>
      <c r="B1240" s="1" t="s">
        <v>3229</v>
      </c>
      <c r="C1240" s="1" t="s">
        <v>3230</v>
      </c>
    </row>
    <row r="1241" spans="1:13" x14ac:dyDescent="0.25">
      <c r="A1241" s="1" t="s">
        <v>3231</v>
      </c>
      <c r="B1241" s="1" t="s">
        <v>3232</v>
      </c>
      <c r="C1241" s="1" t="s">
        <v>3233</v>
      </c>
    </row>
    <row r="1242" spans="1:13" x14ac:dyDescent="0.25">
      <c r="A1242" s="1" t="s">
        <v>3234</v>
      </c>
      <c r="B1242" s="1" t="s">
        <v>3235</v>
      </c>
      <c r="C1242" s="1" t="s">
        <v>3236</v>
      </c>
    </row>
    <row r="1243" spans="1:13" x14ac:dyDescent="0.25">
      <c r="A1243" s="28" t="s">
        <v>3237</v>
      </c>
      <c r="B1243" s="28" t="s">
        <v>3238</v>
      </c>
      <c r="C1243" s="28" t="s">
        <v>3239</v>
      </c>
    </row>
    <row r="1244" spans="1:13" x14ac:dyDescent="0.25">
      <c r="A1244" s="1" t="s">
        <v>3240</v>
      </c>
      <c r="B1244" s="1" t="s">
        <v>3235</v>
      </c>
      <c r="C1244" s="1" t="s">
        <v>3241</v>
      </c>
    </row>
    <row r="1245" spans="1:13" x14ac:dyDescent="0.25">
      <c r="A1245" s="1" t="s">
        <v>3242</v>
      </c>
      <c r="B1245" s="1" t="s">
        <v>3243</v>
      </c>
      <c r="C1245" s="1" t="s">
        <v>3244</v>
      </c>
    </row>
    <row r="1246" spans="1:13" x14ac:dyDescent="0.25">
      <c r="A1246" s="1" t="s">
        <v>3245</v>
      </c>
      <c r="B1246" s="1" t="s">
        <v>3246</v>
      </c>
      <c r="C1246" s="1" t="s">
        <v>3247</v>
      </c>
    </row>
    <row r="1247" spans="1:13" x14ac:dyDescent="0.25">
      <c r="A1247" s="1" t="s">
        <v>3248</v>
      </c>
      <c r="B1247" s="1" t="s">
        <v>3249</v>
      </c>
      <c r="C1247" s="1" t="s">
        <v>3250</v>
      </c>
    </row>
    <row r="1248" spans="1:13" x14ac:dyDescent="0.25">
      <c r="A1248" s="1" t="s">
        <v>3251</v>
      </c>
      <c r="B1248" s="1" t="s">
        <v>3252</v>
      </c>
      <c r="C1248" s="1" t="s">
        <v>3253</v>
      </c>
    </row>
    <row r="1249" spans="1:3" x14ac:dyDescent="0.25">
      <c r="A1249" s="1" t="s">
        <v>3254</v>
      </c>
      <c r="B1249" s="1" t="s">
        <v>3255</v>
      </c>
      <c r="C1249" s="1" t="s">
        <v>3256</v>
      </c>
    </row>
    <row r="1250" spans="1:3" x14ac:dyDescent="0.25">
      <c r="A1250" s="1" t="s">
        <v>3257</v>
      </c>
      <c r="B1250" s="1" t="s">
        <v>3258</v>
      </c>
      <c r="C1250" s="1" t="s">
        <v>3259</v>
      </c>
    </row>
    <row r="1251" spans="1:3" x14ac:dyDescent="0.25">
      <c r="A1251" s="1" t="s">
        <v>3260</v>
      </c>
      <c r="B1251" s="1" t="s">
        <v>3261</v>
      </c>
      <c r="C1251" s="1" t="s">
        <v>3262</v>
      </c>
    </row>
    <row r="1252" spans="1:3" x14ac:dyDescent="0.25">
      <c r="A1252" s="1" t="s">
        <v>3263</v>
      </c>
      <c r="B1252" s="1" t="s">
        <v>3264</v>
      </c>
      <c r="C1252" s="1" t="s">
        <v>3265</v>
      </c>
    </row>
    <row r="1253" spans="1:3" x14ac:dyDescent="0.25">
      <c r="A1253" s="1" t="s">
        <v>3266</v>
      </c>
      <c r="B1253" s="1" t="s">
        <v>3267</v>
      </c>
      <c r="C1253" s="1" t="s">
        <v>3268</v>
      </c>
    </row>
    <row r="1254" spans="1:3" x14ac:dyDescent="0.25">
      <c r="A1254" s="1" t="s">
        <v>3269</v>
      </c>
      <c r="B1254" s="1" t="s">
        <v>3270</v>
      </c>
      <c r="C1254" s="1" t="s">
        <v>3271</v>
      </c>
    </row>
    <row r="1255" spans="1:3" x14ac:dyDescent="0.25">
      <c r="A1255" s="1" t="s">
        <v>3272</v>
      </c>
      <c r="B1255" s="1" t="s">
        <v>3273</v>
      </c>
      <c r="C1255" s="1" t="s">
        <v>3274</v>
      </c>
    </row>
    <row r="1256" spans="1:3" x14ac:dyDescent="0.25">
      <c r="A1256" s="1" t="s">
        <v>3275</v>
      </c>
      <c r="B1256" s="1" t="s">
        <v>3232</v>
      </c>
      <c r="C1256" s="1" t="s">
        <v>3276</v>
      </c>
    </row>
    <row r="1257" spans="1:3" x14ac:dyDescent="0.25">
      <c r="A1257" s="1" t="s">
        <v>3277</v>
      </c>
      <c r="B1257" s="1" t="s">
        <v>3278</v>
      </c>
      <c r="C1257" s="1" t="s">
        <v>3279</v>
      </c>
    </row>
    <row r="1258" spans="1:3" x14ac:dyDescent="0.25">
      <c r="A1258" s="1" t="s">
        <v>3280</v>
      </c>
      <c r="B1258" s="1" t="s">
        <v>3273</v>
      </c>
      <c r="C1258" s="1" t="s">
        <v>3281</v>
      </c>
    </row>
    <row r="1259" spans="1:3" x14ac:dyDescent="0.25">
      <c r="A1259" s="1" t="s">
        <v>3282</v>
      </c>
      <c r="B1259" s="1" t="s">
        <v>3278</v>
      </c>
      <c r="C1259" s="1" t="s">
        <v>3283</v>
      </c>
    </row>
    <row r="1260" spans="1:3" x14ac:dyDescent="0.25">
      <c r="A1260" s="1" t="s">
        <v>3284</v>
      </c>
      <c r="B1260" s="1" t="s">
        <v>3285</v>
      </c>
      <c r="C1260" s="1" t="s">
        <v>3286</v>
      </c>
    </row>
    <row r="1261" spans="1:3" x14ac:dyDescent="0.25">
      <c r="A1261" s="1" t="s">
        <v>3287</v>
      </c>
      <c r="B1261" s="1" t="s">
        <v>3288</v>
      </c>
      <c r="C1261" s="1" t="s">
        <v>460</v>
      </c>
    </row>
    <row r="1262" spans="1:3" x14ac:dyDescent="0.25">
      <c r="A1262" s="1" t="s">
        <v>3289</v>
      </c>
      <c r="B1262" s="1" t="s">
        <v>3290</v>
      </c>
      <c r="C1262" s="1" t="s">
        <v>3291</v>
      </c>
    </row>
    <row r="1263" spans="1:3" x14ac:dyDescent="0.25">
      <c r="A1263" s="1" t="s">
        <v>3292</v>
      </c>
      <c r="B1263" s="1" t="s">
        <v>3285</v>
      </c>
      <c r="C1263" s="1" t="s">
        <v>3293</v>
      </c>
    </row>
    <row r="1264" spans="1:3" x14ac:dyDescent="0.25">
      <c r="A1264" s="1" t="s">
        <v>3294</v>
      </c>
      <c r="B1264" s="1" t="s">
        <v>3290</v>
      </c>
      <c r="C1264" s="1" t="s">
        <v>3295</v>
      </c>
    </row>
    <row r="1265" spans="1:3" x14ac:dyDescent="0.25">
      <c r="A1265" s="1" t="s">
        <v>3296</v>
      </c>
      <c r="B1265" s="1" t="s">
        <v>3297</v>
      </c>
      <c r="C1265" s="1" t="s">
        <v>3298</v>
      </c>
    </row>
    <row r="1266" spans="1:3" x14ac:dyDescent="0.25">
      <c r="A1266" s="1" t="s">
        <v>3299</v>
      </c>
      <c r="B1266" s="1" t="s">
        <v>3300</v>
      </c>
      <c r="C1266" s="1" t="s">
        <v>3301</v>
      </c>
    </row>
    <row r="1267" spans="1:3" x14ac:dyDescent="0.25">
      <c r="A1267" s="1" t="s">
        <v>3302</v>
      </c>
      <c r="B1267" s="1" t="s">
        <v>3303</v>
      </c>
      <c r="C1267" s="1" t="s">
        <v>3304</v>
      </c>
    </row>
    <row r="1268" spans="1:3" x14ac:dyDescent="0.25">
      <c r="A1268" s="1" t="s">
        <v>3305</v>
      </c>
      <c r="B1268" s="1" t="s">
        <v>3306</v>
      </c>
      <c r="C1268" s="1" t="s">
        <v>3307</v>
      </c>
    </row>
    <row r="1269" spans="1:3" x14ac:dyDescent="0.25">
      <c r="A1269" s="1" t="s">
        <v>3308</v>
      </c>
      <c r="B1269" s="1" t="s">
        <v>3309</v>
      </c>
      <c r="C1269" s="1" t="s">
        <v>3310</v>
      </c>
    </row>
    <row r="1270" spans="1:3" x14ac:dyDescent="0.25">
      <c r="A1270" s="1" t="s">
        <v>3311</v>
      </c>
      <c r="B1270" s="1" t="s">
        <v>3312</v>
      </c>
      <c r="C1270" s="1" t="s">
        <v>3313</v>
      </c>
    </row>
    <row r="1271" spans="1:3" x14ac:dyDescent="0.25">
      <c r="A1271" s="1" t="s">
        <v>3314</v>
      </c>
      <c r="B1271" s="1" t="s">
        <v>3315</v>
      </c>
      <c r="C1271" s="1" t="s">
        <v>3316</v>
      </c>
    </row>
    <row r="1272" spans="1:3" x14ac:dyDescent="0.25">
      <c r="A1272" s="1" t="s">
        <v>3317</v>
      </c>
      <c r="B1272" s="1" t="s">
        <v>3303</v>
      </c>
      <c r="C1272" s="1" t="s">
        <v>3318</v>
      </c>
    </row>
    <row r="1273" spans="1:3" x14ac:dyDescent="0.25">
      <c r="A1273" s="1" t="s">
        <v>3319</v>
      </c>
      <c r="B1273" s="1" t="s">
        <v>3320</v>
      </c>
      <c r="C1273" s="1" t="s">
        <v>3321</v>
      </c>
    </row>
    <row r="1274" spans="1:3" x14ac:dyDescent="0.25">
      <c r="A1274" s="1" t="s">
        <v>3322</v>
      </c>
      <c r="B1274" s="1" t="s">
        <v>3323</v>
      </c>
      <c r="C1274" s="1" t="s">
        <v>3324</v>
      </c>
    </row>
    <row r="1275" spans="1:3" x14ac:dyDescent="0.25">
      <c r="A1275" s="1" t="s">
        <v>3325</v>
      </c>
      <c r="B1275" s="1" t="s">
        <v>3278</v>
      </c>
      <c r="C1275" s="1" t="s">
        <v>3326</v>
      </c>
    </row>
    <row r="1276" spans="1:3" x14ac:dyDescent="0.25">
      <c r="A1276" s="1" t="s">
        <v>3327</v>
      </c>
      <c r="B1276" s="1" t="s">
        <v>3328</v>
      </c>
      <c r="C1276" s="1" t="s">
        <v>3329</v>
      </c>
    </row>
    <row r="1277" spans="1:3" x14ac:dyDescent="0.25">
      <c r="A1277" s="1" t="s">
        <v>3330</v>
      </c>
      <c r="B1277" s="1" t="s">
        <v>3278</v>
      </c>
      <c r="C1277" s="1" t="s">
        <v>3331</v>
      </c>
    </row>
    <row r="1278" spans="1:3" x14ac:dyDescent="0.25">
      <c r="A1278" s="1" t="s">
        <v>3332</v>
      </c>
      <c r="B1278" s="1" t="s">
        <v>3333</v>
      </c>
      <c r="C1278" s="1" t="s">
        <v>3334</v>
      </c>
    </row>
    <row r="1279" spans="1:3" x14ac:dyDescent="0.25">
      <c r="A1279" s="1" t="s">
        <v>3335</v>
      </c>
      <c r="B1279" s="1" t="s">
        <v>3336</v>
      </c>
      <c r="C1279" s="1" t="s">
        <v>3337</v>
      </c>
    </row>
    <row r="1280" spans="1:3" x14ac:dyDescent="0.25">
      <c r="A1280" s="1" t="s">
        <v>3338</v>
      </c>
      <c r="B1280" s="1" t="s">
        <v>3339</v>
      </c>
      <c r="C1280" s="1" t="s">
        <v>3340</v>
      </c>
    </row>
    <row r="1281" spans="1:3" x14ac:dyDescent="0.25">
      <c r="A1281" s="1" t="s">
        <v>3341</v>
      </c>
      <c r="B1281" s="1" t="s">
        <v>3342</v>
      </c>
      <c r="C1281" s="1" t="s">
        <v>3343</v>
      </c>
    </row>
    <row r="1282" spans="1:3" x14ac:dyDescent="0.25">
      <c r="A1282" s="1" t="s">
        <v>3344</v>
      </c>
      <c r="B1282" s="1" t="s">
        <v>3345</v>
      </c>
      <c r="C1282" s="1" t="s">
        <v>1587</v>
      </c>
    </row>
    <row r="1283" spans="1:3" x14ac:dyDescent="0.25">
      <c r="A1283" s="1" t="s">
        <v>3346</v>
      </c>
      <c r="B1283" s="1" t="s">
        <v>3347</v>
      </c>
      <c r="C1283" s="1" t="s">
        <v>3348</v>
      </c>
    </row>
    <row r="1284" spans="1:3" x14ac:dyDescent="0.25">
      <c r="A1284" s="1" t="s">
        <v>3349</v>
      </c>
      <c r="B1284" s="1" t="s">
        <v>3350</v>
      </c>
      <c r="C1284" s="1" t="s">
        <v>3351</v>
      </c>
    </row>
    <row r="1285" spans="1:3" x14ac:dyDescent="0.25">
      <c r="A1285" s="1" t="s">
        <v>3352</v>
      </c>
      <c r="B1285" s="1" t="s">
        <v>3353</v>
      </c>
      <c r="C1285" s="1" t="s">
        <v>3354</v>
      </c>
    </row>
    <row r="1286" spans="1:3" x14ac:dyDescent="0.25">
      <c r="A1286" s="1" t="s">
        <v>3355</v>
      </c>
      <c r="B1286" s="1" t="s">
        <v>3356</v>
      </c>
      <c r="C1286" s="1" t="s">
        <v>1731</v>
      </c>
    </row>
    <row r="1287" spans="1:3" x14ac:dyDescent="0.25">
      <c r="A1287" s="1" t="s">
        <v>3357</v>
      </c>
      <c r="B1287" s="1" t="s">
        <v>3358</v>
      </c>
      <c r="C1287" s="1" t="s">
        <v>3359</v>
      </c>
    </row>
    <row r="1288" spans="1:3" x14ac:dyDescent="0.25">
      <c r="A1288" s="1" t="s">
        <v>3360</v>
      </c>
      <c r="B1288" s="1" t="s">
        <v>3361</v>
      </c>
      <c r="C1288" s="1" t="s">
        <v>3362</v>
      </c>
    </row>
    <row r="1289" spans="1:3" x14ac:dyDescent="0.25">
      <c r="A1289" s="1" t="s">
        <v>3363</v>
      </c>
      <c r="B1289" s="1" t="s">
        <v>3364</v>
      </c>
      <c r="C1289" s="1" t="s">
        <v>3365</v>
      </c>
    </row>
    <row r="1290" spans="1:3" x14ac:dyDescent="0.25">
      <c r="A1290" s="1" t="s">
        <v>3366</v>
      </c>
      <c r="B1290" s="1" t="s">
        <v>3367</v>
      </c>
      <c r="C1290" s="1" t="s">
        <v>3368</v>
      </c>
    </row>
    <row r="1291" spans="1:3" x14ac:dyDescent="0.25">
      <c r="A1291" s="1" t="s">
        <v>3369</v>
      </c>
      <c r="B1291" s="1" t="s">
        <v>3370</v>
      </c>
      <c r="C1291" s="1" t="s">
        <v>3371</v>
      </c>
    </row>
    <row r="1292" spans="1:3" x14ac:dyDescent="0.25">
      <c r="A1292" s="1" t="s">
        <v>3372</v>
      </c>
      <c r="B1292" s="1" t="s">
        <v>3373</v>
      </c>
      <c r="C1292" s="1" t="s">
        <v>3374</v>
      </c>
    </row>
    <row r="1293" spans="1:3" x14ac:dyDescent="0.25">
      <c r="A1293" s="1" t="s">
        <v>3375</v>
      </c>
      <c r="B1293" s="1" t="s">
        <v>3376</v>
      </c>
      <c r="C1293" s="1" t="s">
        <v>3377</v>
      </c>
    </row>
    <row r="1294" spans="1:3" x14ac:dyDescent="0.25">
      <c r="A1294" s="1" t="s">
        <v>3378</v>
      </c>
      <c r="B1294" s="1" t="s">
        <v>3336</v>
      </c>
      <c r="C1294" s="1" t="s">
        <v>3379</v>
      </c>
    </row>
    <row r="1295" spans="1:3" x14ac:dyDescent="0.25">
      <c r="A1295" s="1" t="s">
        <v>3380</v>
      </c>
      <c r="B1295" s="1" t="s">
        <v>3373</v>
      </c>
      <c r="C1295" s="1" t="s">
        <v>600</v>
      </c>
    </row>
    <row r="1296" spans="1:3" x14ac:dyDescent="0.25">
      <c r="A1296" s="1" t="s">
        <v>3381</v>
      </c>
      <c r="B1296" s="1" t="s">
        <v>3382</v>
      </c>
      <c r="C1296" s="1" t="s">
        <v>3383</v>
      </c>
    </row>
    <row r="1297" spans="1:3" x14ac:dyDescent="0.25">
      <c r="A1297" s="1" t="s">
        <v>3384</v>
      </c>
      <c r="B1297" s="1" t="s">
        <v>3385</v>
      </c>
      <c r="C1297" s="1" t="s">
        <v>3386</v>
      </c>
    </row>
    <row r="1298" spans="1:3" x14ac:dyDescent="0.25">
      <c r="A1298" s="1" t="s">
        <v>3387</v>
      </c>
      <c r="B1298" s="1" t="s">
        <v>3388</v>
      </c>
      <c r="C1298" s="1" t="s">
        <v>3389</v>
      </c>
    </row>
    <row r="1299" spans="1:3" x14ac:dyDescent="0.25">
      <c r="A1299" s="1" t="s">
        <v>3390</v>
      </c>
      <c r="B1299" s="1" t="s">
        <v>3391</v>
      </c>
      <c r="C1299" s="1" t="s">
        <v>3392</v>
      </c>
    </row>
    <row r="1300" spans="1:3" x14ac:dyDescent="0.25">
      <c r="A1300" s="1" t="s">
        <v>3393</v>
      </c>
      <c r="B1300" s="1" t="s">
        <v>3394</v>
      </c>
      <c r="C1300" s="1" t="s">
        <v>3395</v>
      </c>
    </row>
    <row r="1301" spans="1:3" x14ac:dyDescent="0.25">
      <c r="A1301" s="1" t="s">
        <v>3396</v>
      </c>
      <c r="B1301" s="1" t="s">
        <v>3397</v>
      </c>
      <c r="C1301" s="1" t="s">
        <v>3398</v>
      </c>
    </row>
    <row r="1302" spans="1:3" x14ac:dyDescent="0.25">
      <c r="A1302" s="1" t="s">
        <v>3399</v>
      </c>
      <c r="B1302" s="1" t="s">
        <v>3400</v>
      </c>
      <c r="C1302" s="1" t="s">
        <v>3401</v>
      </c>
    </row>
    <row r="1303" spans="1:3" x14ac:dyDescent="0.25">
      <c r="A1303" s="1" t="s">
        <v>3402</v>
      </c>
      <c r="B1303" s="1" t="s">
        <v>3403</v>
      </c>
      <c r="C1303" s="1" t="s">
        <v>3404</v>
      </c>
    </row>
    <row r="1304" spans="1:3" x14ac:dyDescent="0.25">
      <c r="A1304" s="1" t="s">
        <v>3405</v>
      </c>
      <c r="B1304" s="1" t="s">
        <v>3406</v>
      </c>
      <c r="C1304" s="1" t="s">
        <v>3407</v>
      </c>
    </row>
    <row r="1305" spans="1:3" x14ac:dyDescent="0.25">
      <c r="A1305" s="1" t="s">
        <v>3408</v>
      </c>
      <c r="B1305" s="1" t="s">
        <v>3376</v>
      </c>
      <c r="C1305" s="1" t="s">
        <v>3409</v>
      </c>
    </row>
    <row r="1306" spans="1:3" x14ac:dyDescent="0.25">
      <c r="A1306" s="1" t="s">
        <v>3410</v>
      </c>
      <c r="B1306" s="1" t="s">
        <v>3411</v>
      </c>
      <c r="C1306" s="1" t="s">
        <v>3412</v>
      </c>
    </row>
    <row r="1307" spans="1:3" x14ac:dyDescent="0.25">
      <c r="A1307" s="1" t="s">
        <v>3413</v>
      </c>
      <c r="B1307" s="1" t="s">
        <v>3414</v>
      </c>
      <c r="C1307" s="1" t="s">
        <v>3415</v>
      </c>
    </row>
    <row r="1308" spans="1:3" x14ac:dyDescent="0.25">
      <c r="A1308" s="1" t="s">
        <v>3416</v>
      </c>
      <c r="B1308" s="1" t="s">
        <v>3417</v>
      </c>
      <c r="C1308" s="1" t="s">
        <v>3418</v>
      </c>
    </row>
    <row r="1309" spans="1:3" x14ac:dyDescent="0.25">
      <c r="A1309" s="1" t="s">
        <v>3419</v>
      </c>
      <c r="B1309" s="1" t="s">
        <v>3420</v>
      </c>
      <c r="C1309" s="1" t="s">
        <v>3421</v>
      </c>
    </row>
    <row r="1310" spans="1:3" x14ac:dyDescent="0.25">
      <c r="A1310" s="1" t="s">
        <v>3422</v>
      </c>
      <c r="B1310" s="1" t="s">
        <v>3423</v>
      </c>
      <c r="C1310" s="1" t="s">
        <v>3424</v>
      </c>
    </row>
    <row r="1311" spans="1:3" x14ac:dyDescent="0.25">
      <c r="A1311" s="1" t="s">
        <v>3425</v>
      </c>
      <c r="B1311" s="1" t="s">
        <v>3426</v>
      </c>
      <c r="C1311" s="1" t="s">
        <v>3427</v>
      </c>
    </row>
    <row r="1312" spans="1:3" x14ac:dyDescent="0.25">
      <c r="A1312" s="1" t="s">
        <v>3428</v>
      </c>
      <c r="B1312" s="1" t="s">
        <v>3423</v>
      </c>
      <c r="C1312" s="1" t="s">
        <v>3429</v>
      </c>
    </row>
    <row r="1313" spans="1:3" x14ac:dyDescent="0.25">
      <c r="A1313" s="1" t="s">
        <v>3430</v>
      </c>
      <c r="B1313" s="1" t="s">
        <v>3431</v>
      </c>
      <c r="C1313" s="1" t="s">
        <v>3432</v>
      </c>
    </row>
    <row r="1314" spans="1:3" x14ac:dyDescent="0.25">
      <c r="A1314" s="1" t="s">
        <v>3433</v>
      </c>
      <c r="B1314" s="1" t="s">
        <v>3434</v>
      </c>
      <c r="C1314" s="1" t="s">
        <v>3435</v>
      </c>
    </row>
    <row r="1315" spans="1:3" x14ac:dyDescent="0.25">
      <c r="A1315" s="1" t="s">
        <v>3436</v>
      </c>
      <c r="B1315" s="1" t="s">
        <v>3437</v>
      </c>
      <c r="C1315" s="1" t="s">
        <v>3438</v>
      </c>
    </row>
    <row r="1316" spans="1:3" x14ac:dyDescent="0.25">
      <c r="A1316" s="1" t="s">
        <v>3439</v>
      </c>
      <c r="B1316" s="1" t="s">
        <v>3440</v>
      </c>
      <c r="C1316" s="1" t="s">
        <v>3441</v>
      </c>
    </row>
    <row r="1317" spans="1:3" x14ac:dyDescent="0.25">
      <c r="A1317" s="1" t="s">
        <v>3442</v>
      </c>
      <c r="B1317" s="1" t="s">
        <v>3443</v>
      </c>
      <c r="C1317" s="1" t="s">
        <v>3444</v>
      </c>
    </row>
    <row r="1318" spans="1:3" x14ac:dyDescent="0.25">
      <c r="A1318" s="1" t="s">
        <v>3445</v>
      </c>
      <c r="B1318" s="1" t="s">
        <v>3446</v>
      </c>
      <c r="C1318" s="1" t="s">
        <v>3447</v>
      </c>
    </row>
    <row r="1319" spans="1:3" x14ac:dyDescent="0.25">
      <c r="A1319" s="1" t="s">
        <v>3448</v>
      </c>
      <c r="B1319" s="1" t="s">
        <v>3426</v>
      </c>
      <c r="C1319" s="1" t="s">
        <v>3449</v>
      </c>
    </row>
    <row r="1320" spans="1:3" x14ac:dyDescent="0.25">
      <c r="A1320" s="1" t="s">
        <v>3450</v>
      </c>
      <c r="B1320" s="1" t="s">
        <v>3451</v>
      </c>
      <c r="C1320" s="1" t="s">
        <v>3452</v>
      </c>
    </row>
    <row r="1321" spans="1:3" x14ac:dyDescent="0.25">
      <c r="A1321" s="1" t="s">
        <v>3453</v>
      </c>
      <c r="B1321" s="1" t="s">
        <v>3411</v>
      </c>
      <c r="C1321" s="1" t="s">
        <v>3454</v>
      </c>
    </row>
    <row r="1322" spans="1:3" x14ac:dyDescent="0.25">
      <c r="A1322" s="1" t="s">
        <v>3455</v>
      </c>
      <c r="B1322" s="1" t="s">
        <v>3456</v>
      </c>
      <c r="C1322" s="1" t="s">
        <v>3457</v>
      </c>
    </row>
    <row r="1323" spans="1:3" x14ac:dyDescent="0.25">
      <c r="A1323" s="1" t="s">
        <v>3458</v>
      </c>
      <c r="B1323" s="1" t="s">
        <v>3459</v>
      </c>
      <c r="C1323" s="1" t="s">
        <v>3460</v>
      </c>
    </row>
    <row r="1324" spans="1:3" x14ac:dyDescent="0.25">
      <c r="A1324" s="1" t="s">
        <v>3461</v>
      </c>
      <c r="B1324" s="1" t="s">
        <v>3462</v>
      </c>
      <c r="C1324" s="1" t="s">
        <v>3463</v>
      </c>
    </row>
    <row r="1325" spans="1:3" x14ac:dyDescent="0.25">
      <c r="A1325" s="1" t="s">
        <v>3464</v>
      </c>
      <c r="B1325" s="1" t="s">
        <v>3465</v>
      </c>
      <c r="C1325" s="1" t="s">
        <v>3466</v>
      </c>
    </row>
    <row r="1326" spans="1:3" x14ac:dyDescent="0.25">
      <c r="A1326" s="1" t="s">
        <v>3467</v>
      </c>
      <c r="B1326" s="1" t="s">
        <v>3468</v>
      </c>
      <c r="C1326" s="1" t="s">
        <v>716</v>
      </c>
    </row>
    <row r="1327" spans="1:3" x14ac:dyDescent="0.25">
      <c r="A1327" s="1" t="s">
        <v>3469</v>
      </c>
      <c r="B1327" s="1" t="s">
        <v>3470</v>
      </c>
      <c r="C1327" s="1" t="s">
        <v>3471</v>
      </c>
    </row>
    <row r="1328" spans="1:3" x14ac:dyDescent="0.25">
      <c r="A1328" s="1" t="s">
        <v>3472</v>
      </c>
      <c r="B1328" s="1" t="s">
        <v>3473</v>
      </c>
      <c r="C1328" s="1" t="s">
        <v>3474</v>
      </c>
    </row>
    <row r="1329" spans="1:3" x14ac:dyDescent="0.25">
      <c r="A1329" s="1" t="s">
        <v>3475</v>
      </c>
      <c r="B1329" s="1" t="s">
        <v>3476</v>
      </c>
      <c r="C1329" s="1" t="s">
        <v>3477</v>
      </c>
    </row>
    <row r="1330" spans="1:3" x14ac:dyDescent="0.25">
      <c r="A1330" s="1" t="s">
        <v>3478</v>
      </c>
      <c r="B1330" s="1" t="s">
        <v>3479</v>
      </c>
      <c r="C1330" s="1" t="s">
        <v>3480</v>
      </c>
    </row>
    <row r="1331" spans="1:3" x14ac:dyDescent="0.25">
      <c r="A1331" s="28" t="s">
        <v>3481</v>
      </c>
      <c r="B1331" s="28" t="s">
        <v>3482</v>
      </c>
      <c r="C1331" s="28" t="s">
        <v>3483</v>
      </c>
    </row>
    <row r="1332" spans="1:3" x14ac:dyDescent="0.25">
      <c r="A1332" s="28" t="s">
        <v>3484</v>
      </c>
      <c r="B1332" s="28" t="s">
        <v>3485</v>
      </c>
      <c r="C1332" s="28" t="s">
        <v>3486</v>
      </c>
    </row>
    <row r="1333" spans="1:3" x14ac:dyDescent="0.25">
      <c r="A1333" s="28" t="s">
        <v>3487</v>
      </c>
      <c r="B1333" s="28" t="s">
        <v>3488</v>
      </c>
      <c r="C1333" s="28" t="s">
        <v>3489</v>
      </c>
    </row>
    <row r="1334" spans="1:3" x14ac:dyDescent="0.25">
      <c r="A1334" s="28" t="s">
        <v>3490</v>
      </c>
      <c r="B1334" s="28" t="s">
        <v>3491</v>
      </c>
      <c r="C1334" s="28" t="s">
        <v>3492</v>
      </c>
    </row>
    <row r="1335" spans="1:3" x14ac:dyDescent="0.25">
      <c r="A1335" s="28" t="s">
        <v>3493</v>
      </c>
      <c r="B1335" s="28" t="s">
        <v>3494</v>
      </c>
      <c r="C1335" s="28" t="s">
        <v>3495</v>
      </c>
    </row>
    <row r="1336" spans="1:3" x14ac:dyDescent="0.25">
      <c r="A1336" s="28" t="s">
        <v>3496</v>
      </c>
      <c r="B1336" s="28" t="s">
        <v>3497</v>
      </c>
      <c r="C1336" s="28" t="s">
        <v>3498</v>
      </c>
    </row>
    <row r="1337" spans="1:3" x14ac:dyDescent="0.25">
      <c r="A1337" s="28" t="s">
        <v>3499</v>
      </c>
      <c r="B1337" s="28" t="s">
        <v>3500</v>
      </c>
      <c r="C1337" s="28" t="s">
        <v>169</v>
      </c>
    </row>
    <row r="1338" spans="1:3" x14ac:dyDescent="0.25">
      <c r="A1338" s="1" t="s">
        <v>3501</v>
      </c>
      <c r="B1338" s="1" t="s">
        <v>3502</v>
      </c>
      <c r="C1338" s="1" t="s">
        <v>3503</v>
      </c>
    </row>
    <row r="1339" spans="1:3" x14ac:dyDescent="0.25">
      <c r="A1339" s="28" t="s">
        <v>3504</v>
      </c>
      <c r="B1339" s="28" t="s">
        <v>3505</v>
      </c>
      <c r="C1339" s="28" t="s">
        <v>3506</v>
      </c>
    </row>
    <row r="1340" spans="1:3" x14ac:dyDescent="0.25">
      <c r="A1340" s="1" t="s">
        <v>3507</v>
      </c>
      <c r="B1340" s="1" t="s">
        <v>3508</v>
      </c>
      <c r="C1340" s="1" t="s">
        <v>3509</v>
      </c>
    </row>
    <row r="1341" spans="1:3" x14ac:dyDescent="0.25">
      <c r="A1341" s="1" t="s">
        <v>3510</v>
      </c>
      <c r="B1341" s="1" t="s">
        <v>3511</v>
      </c>
      <c r="C1341" s="1" t="s">
        <v>3512</v>
      </c>
    </row>
    <row r="1342" spans="1:3" x14ac:dyDescent="0.25">
      <c r="A1342" s="1" t="s">
        <v>3513</v>
      </c>
      <c r="B1342" s="1" t="s">
        <v>3514</v>
      </c>
      <c r="C1342" s="1" t="s">
        <v>3515</v>
      </c>
    </row>
    <row r="1343" spans="1:3" x14ac:dyDescent="0.25">
      <c r="A1343" s="28" t="s">
        <v>3516</v>
      </c>
      <c r="B1343" s="28" t="s">
        <v>3517</v>
      </c>
      <c r="C1343" s="28" t="s">
        <v>3518</v>
      </c>
    </row>
    <row r="1344" spans="1:3" x14ac:dyDescent="0.25">
      <c r="A1344" s="1" t="s">
        <v>3519</v>
      </c>
      <c r="B1344" s="1" t="s">
        <v>3520</v>
      </c>
      <c r="C1344" s="1" t="s">
        <v>3521</v>
      </c>
    </row>
    <row r="1345" spans="1:3" x14ac:dyDescent="0.25">
      <c r="A1345" s="1" t="s">
        <v>3522</v>
      </c>
      <c r="B1345" s="1" t="s">
        <v>3523</v>
      </c>
      <c r="C1345" s="1" t="s">
        <v>3524</v>
      </c>
    </row>
    <row r="1346" spans="1:3" x14ac:dyDescent="0.25">
      <c r="A1346" s="1" t="s">
        <v>3525</v>
      </c>
      <c r="B1346" s="1" t="s">
        <v>3526</v>
      </c>
      <c r="C1346" s="1" t="s">
        <v>3527</v>
      </c>
    </row>
    <row r="1347" spans="1:3" x14ac:dyDescent="0.25">
      <c r="A1347" s="1" t="s">
        <v>3528</v>
      </c>
      <c r="B1347" s="1" t="s">
        <v>3529</v>
      </c>
      <c r="C1347" s="1" t="s">
        <v>3530</v>
      </c>
    </row>
    <row r="1348" spans="1:3" x14ac:dyDescent="0.25">
      <c r="A1348" s="1" t="s">
        <v>3531</v>
      </c>
      <c r="B1348" s="1" t="s">
        <v>3532</v>
      </c>
      <c r="C1348" s="1" t="s">
        <v>3533</v>
      </c>
    </row>
    <row r="1349" spans="1:3" x14ac:dyDescent="0.25">
      <c r="A1349" s="1" t="s">
        <v>3534</v>
      </c>
      <c r="B1349" s="1" t="s">
        <v>3535</v>
      </c>
      <c r="C1349" s="1" t="s">
        <v>3536</v>
      </c>
    </row>
    <row r="1350" spans="1:3" x14ac:dyDescent="0.25">
      <c r="A1350" s="1" t="s">
        <v>3537</v>
      </c>
      <c r="B1350" s="1" t="s">
        <v>3538</v>
      </c>
      <c r="C1350" s="1" t="s">
        <v>3539</v>
      </c>
    </row>
    <row r="1351" spans="1:3" x14ac:dyDescent="0.25">
      <c r="A1351" s="1" t="s">
        <v>3540</v>
      </c>
      <c r="B1351" s="1" t="s">
        <v>3541</v>
      </c>
      <c r="C1351" s="1" t="s">
        <v>3542</v>
      </c>
    </row>
    <row r="1352" spans="1:3" x14ac:dyDescent="0.25">
      <c r="A1352" s="1" t="s">
        <v>3543</v>
      </c>
      <c r="B1352" s="1" t="s">
        <v>3544</v>
      </c>
      <c r="C1352" s="1" t="s">
        <v>3545</v>
      </c>
    </row>
    <row r="1353" spans="1:3" x14ac:dyDescent="0.25">
      <c r="A1353" s="28" t="s">
        <v>3546</v>
      </c>
      <c r="B1353" s="28" t="s">
        <v>3547</v>
      </c>
      <c r="C1353" s="28" t="s">
        <v>3548</v>
      </c>
    </row>
    <row r="1354" spans="1:3" x14ac:dyDescent="0.25">
      <c r="A1354" s="1" t="s">
        <v>3549</v>
      </c>
      <c r="B1354" s="1" t="s">
        <v>3550</v>
      </c>
      <c r="C1354" s="1" t="s">
        <v>3551</v>
      </c>
    </row>
    <row r="1355" spans="1:3" x14ac:dyDescent="0.25">
      <c r="A1355" s="1" t="s">
        <v>3552</v>
      </c>
      <c r="B1355" s="1" t="s">
        <v>3553</v>
      </c>
      <c r="C1355" s="1" t="s">
        <v>3554</v>
      </c>
    </row>
    <row r="1356" spans="1:3" x14ac:dyDescent="0.25">
      <c r="A1356" s="1" t="s">
        <v>3555</v>
      </c>
      <c r="B1356" s="1" t="s">
        <v>3556</v>
      </c>
      <c r="C1356" s="1" t="s">
        <v>211</v>
      </c>
    </row>
    <row r="1357" spans="1:3" x14ac:dyDescent="0.25">
      <c r="A1357" s="1" t="s">
        <v>3557</v>
      </c>
      <c r="B1357" s="1" t="s">
        <v>3558</v>
      </c>
      <c r="C1357" s="1" t="s">
        <v>3559</v>
      </c>
    </row>
    <row r="1358" spans="1:3" x14ac:dyDescent="0.25">
      <c r="A1358" s="1" t="s">
        <v>3560</v>
      </c>
      <c r="B1358" s="1" t="s">
        <v>3561</v>
      </c>
      <c r="C1358" s="1" t="s">
        <v>3562</v>
      </c>
    </row>
    <row r="1359" spans="1:3" x14ac:dyDescent="0.25">
      <c r="A1359" s="1" t="s">
        <v>3563</v>
      </c>
      <c r="B1359" s="1" t="s">
        <v>3564</v>
      </c>
      <c r="C1359" s="1" t="s">
        <v>3565</v>
      </c>
    </row>
    <row r="1360" spans="1:3" x14ac:dyDescent="0.25">
      <c r="A1360" s="1" t="s">
        <v>3566</v>
      </c>
      <c r="B1360" s="1" t="s">
        <v>3567</v>
      </c>
      <c r="C1360" s="1" t="s">
        <v>3568</v>
      </c>
    </row>
    <row r="1361" spans="1:13" x14ac:dyDescent="0.25">
      <c r="A1361" s="1" t="s">
        <v>3569</v>
      </c>
      <c r="B1361" s="1" t="s">
        <v>3570</v>
      </c>
      <c r="C1361" s="1" t="s">
        <v>3571</v>
      </c>
    </row>
    <row r="1362" spans="1:13" x14ac:dyDescent="0.25">
      <c r="A1362" s="1" t="s">
        <v>3572</v>
      </c>
      <c r="B1362" s="1" t="s">
        <v>3573</v>
      </c>
      <c r="C1362" s="1" t="s">
        <v>3574</v>
      </c>
    </row>
    <row r="1363" spans="1:13" x14ac:dyDescent="0.25">
      <c r="A1363" s="1" t="s">
        <v>3575</v>
      </c>
      <c r="B1363" s="1" t="s">
        <v>3576</v>
      </c>
      <c r="C1363" s="1" t="s">
        <v>3577</v>
      </c>
    </row>
    <row r="1364" spans="1:13" x14ac:dyDescent="0.25">
      <c r="A1364" s="1" t="s">
        <v>3578</v>
      </c>
      <c r="B1364" s="1" t="s">
        <v>3579</v>
      </c>
      <c r="C1364" s="1" t="s">
        <v>3580</v>
      </c>
    </row>
    <row r="1365" spans="1:13" x14ac:dyDescent="0.25">
      <c r="A1365" s="1" t="s">
        <v>3581</v>
      </c>
      <c r="B1365" s="1" t="s">
        <v>3582</v>
      </c>
      <c r="C1365" s="1" t="s">
        <v>3583</v>
      </c>
    </row>
    <row r="1366" spans="1:13" x14ac:dyDescent="0.25">
      <c r="A1366" s="1" t="s">
        <v>3584</v>
      </c>
      <c r="B1366" s="1" t="s">
        <v>3585</v>
      </c>
      <c r="C1366" s="1" t="s">
        <v>3586</v>
      </c>
    </row>
    <row r="1367" spans="1:13" x14ac:dyDescent="0.25">
      <c r="A1367" s="1" t="s">
        <v>3587</v>
      </c>
      <c r="B1367" s="1" t="s">
        <v>3588</v>
      </c>
      <c r="C1367" s="1" t="s">
        <v>3589</v>
      </c>
    </row>
    <row r="1368" spans="1:13" x14ac:dyDescent="0.25">
      <c r="A1368" s="1" t="s">
        <v>3590</v>
      </c>
      <c r="B1368" s="1" t="s">
        <v>3591</v>
      </c>
      <c r="C1368" s="1" t="s">
        <v>3592</v>
      </c>
    </row>
    <row r="1369" spans="1:13" x14ac:dyDescent="0.25">
      <c r="A1369" s="1" t="s">
        <v>3593</v>
      </c>
      <c r="B1369" s="1" t="s">
        <v>3594</v>
      </c>
      <c r="C1369" s="1" t="s">
        <v>3595</v>
      </c>
    </row>
    <row r="1370" spans="1:13" x14ac:dyDescent="0.25">
      <c r="A1370" s="28" t="s">
        <v>3596</v>
      </c>
      <c r="B1370" s="28" t="s">
        <v>3597</v>
      </c>
      <c r="C1370" s="28" t="s">
        <v>3598</v>
      </c>
    </row>
    <row r="1371" spans="1:13" x14ac:dyDescent="0.25">
      <c r="A1371" s="3"/>
      <c r="B1371" s="3"/>
      <c r="C1371" s="3"/>
    </row>
    <row r="1373" spans="1:13" ht="18.75" x14ac:dyDescent="0.25">
      <c r="A1373" s="44" t="s">
        <v>28</v>
      </c>
      <c r="B1373" s="44"/>
      <c r="C1373" s="44"/>
      <c r="D1373" s="44"/>
      <c r="E1373" s="44"/>
      <c r="F1373" s="44"/>
      <c r="G1373" s="44"/>
      <c r="H1373" s="44"/>
      <c r="I1373" s="44"/>
      <c r="J1373" s="44"/>
      <c r="K1373" s="44"/>
      <c r="L1373" s="44"/>
      <c r="M1373" s="44"/>
    </row>
    <row r="1374" spans="1:13" ht="143.25" customHeight="1" x14ac:dyDescent="0.25">
      <c r="A1374" s="45" t="s">
        <v>3599</v>
      </c>
      <c r="B1374" s="45"/>
      <c r="C1374" s="45"/>
      <c r="D1374" s="45"/>
      <c r="E1374" s="45"/>
      <c r="F1374" s="45"/>
      <c r="G1374" s="45"/>
      <c r="H1374" s="45"/>
      <c r="I1374" s="45"/>
      <c r="J1374" s="45"/>
      <c r="K1374" s="45"/>
      <c r="L1374" s="45"/>
      <c r="M1374" s="45"/>
    </row>
    <row r="1375" spans="1:13" x14ac:dyDescent="0.25">
      <c r="A1375" s="1" t="s">
        <v>1785</v>
      </c>
      <c r="B1375" s="1" t="s">
        <v>1786</v>
      </c>
      <c r="C1375" s="1" t="s">
        <v>1787</v>
      </c>
    </row>
    <row r="1376" spans="1:13" x14ac:dyDescent="0.25">
      <c r="A1376" s="1" t="s">
        <v>3600</v>
      </c>
      <c r="B1376" s="1" t="s">
        <v>3601</v>
      </c>
      <c r="C1376" s="1" t="s">
        <v>3602</v>
      </c>
    </row>
    <row r="1377" spans="1:3" x14ac:dyDescent="0.25">
      <c r="A1377" s="1" t="s">
        <v>3603</v>
      </c>
      <c r="B1377" s="1" t="s">
        <v>3604</v>
      </c>
      <c r="C1377" s="1" t="s">
        <v>3605</v>
      </c>
    </row>
    <row r="1378" spans="1:3" x14ac:dyDescent="0.25">
      <c r="A1378" s="1" t="s">
        <v>3606</v>
      </c>
      <c r="B1378" s="1" t="s">
        <v>3607</v>
      </c>
      <c r="C1378" s="1" t="s">
        <v>3608</v>
      </c>
    </row>
    <row r="1379" spans="1:3" x14ac:dyDescent="0.25">
      <c r="A1379" s="1" t="s">
        <v>3609</v>
      </c>
      <c r="B1379" s="1" t="s">
        <v>3610</v>
      </c>
      <c r="C1379" s="1" t="s">
        <v>3611</v>
      </c>
    </row>
    <row r="1380" spans="1:3" x14ac:dyDescent="0.25">
      <c r="A1380" s="1" t="s">
        <v>3612</v>
      </c>
      <c r="B1380" s="1" t="s">
        <v>3613</v>
      </c>
      <c r="C1380" s="1" t="s">
        <v>3614</v>
      </c>
    </row>
    <row r="1381" spans="1:3" x14ac:dyDescent="0.25">
      <c r="A1381" s="1" t="s">
        <v>3615</v>
      </c>
      <c r="B1381" s="1" t="s">
        <v>3616</v>
      </c>
      <c r="C1381" s="1" t="s">
        <v>3617</v>
      </c>
    </row>
    <row r="1382" spans="1:3" x14ac:dyDescent="0.25">
      <c r="A1382" s="1" t="s">
        <v>3618</v>
      </c>
      <c r="B1382" s="1" t="s">
        <v>3619</v>
      </c>
      <c r="C1382" s="1" t="s">
        <v>3620</v>
      </c>
    </row>
    <row r="1383" spans="1:3" x14ac:dyDescent="0.25">
      <c r="A1383" s="1" t="s">
        <v>3621</v>
      </c>
      <c r="B1383" s="1" t="s">
        <v>3622</v>
      </c>
      <c r="C1383" s="1" t="s">
        <v>3623</v>
      </c>
    </row>
    <row r="1384" spans="1:3" x14ac:dyDescent="0.25">
      <c r="A1384" s="1" t="s">
        <v>3624</v>
      </c>
      <c r="B1384" s="1" t="s">
        <v>3625</v>
      </c>
      <c r="C1384" s="1" t="s">
        <v>3626</v>
      </c>
    </row>
    <row r="1385" spans="1:3" x14ac:dyDescent="0.25">
      <c r="A1385" s="1" t="s">
        <v>3627</v>
      </c>
      <c r="B1385" s="1" t="s">
        <v>3628</v>
      </c>
      <c r="C1385" s="1" t="s">
        <v>3629</v>
      </c>
    </row>
    <row r="1386" spans="1:3" x14ac:dyDescent="0.25">
      <c r="A1386" s="1" t="s">
        <v>3630</v>
      </c>
      <c r="B1386" s="1" t="s">
        <v>3631</v>
      </c>
      <c r="C1386" s="1" t="s">
        <v>3632</v>
      </c>
    </row>
    <row r="1387" spans="1:3" x14ac:dyDescent="0.25">
      <c r="A1387" s="1" t="s">
        <v>3633</v>
      </c>
      <c r="B1387" s="1" t="s">
        <v>3634</v>
      </c>
      <c r="C1387" s="1" t="s">
        <v>3635</v>
      </c>
    </row>
    <row r="1388" spans="1:3" x14ac:dyDescent="0.25">
      <c r="A1388" s="1" t="s">
        <v>3636</v>
      </c>
      <c r="B1388" s="1" t="s">
        <v>3637</v>
      </c>
      <c r="C1388" s="1" t="s">
        <v>3638</v>
      </c>
    </row>
    <row r="1389" spans="1:3" x14ac:dyDescent="0.25">
      <c r="A1389" s="1" t="s">
        <v>3639</v>
      </c>
      <c r="B1389" s="1" t="s">
        <v>3640</v>
      </c>
      <c r="C1389" s="1" t="s">
        <v>3641</v>
      </c>
    </row>
    <row r="1390" spans="1:3" x14ac:dyDescent="0.25">
      <c r="A1390" s="1" t="s">
        <v>3642</v>
      </c>
      <c r="B1390" s="1" t="s">
        <v>3643</v>
      </c>
      <c r="C1390" s="1" t="s">
        <v>3644</v>
      </c>
    </row>
    <row r="1391" spans="1:3" x14ac:dyDescent="0.25">
      <c r="A1391" s="1" t="s">
        <v>3645</v>
      </c>
      <c r="B1391" s="1" t="s">
        <v>3646</v>
      </c>
      <c r="C1391" s="1" t="s">
        <v>3647</v>
      </c>
    </row>
    <row r="1392" spans="1:3" x14ac:dyDescent="0.25">
      <c r="A1392" s="1" t="s">
        <v>3648</v>
      </c>
      <c r="B1392" s="1" t="s">
        <v>3649</v>
      </c>
      <c r="C1392" s="1" t="s">
        <v>3650</v>
      </c>
    </row>
    <row r="1393" spans="1:3" x14ac:dyDescent="0.25">
      <c r="A1393" s="1" t="s">
        <v>3651</v>
      </c>
      <c r="B1393" s="1" t="s">
        <v>3652</v>
      </c>
      <c r="C1393" s="1" t="s">
        <v>3653</v>
      </c>
    </row>
    <row r="1394" spans="1:3" x14ac:dyDescent="0.25">
      <c r="A1394" s="1" t="s">
        <v>3654</v>
      </c>
      <c r="B1394" s="1" t="s">
        <v>3655</v>
      </c>
      <c r="C1394" s="1" t="s">
        <v>3656</v>
      </c>
    </row>
    <row r="1395" spans="1:3" x14ac:dyDescent="0.25">
      <c r="A1395" s="1" t="s">
        <v>3657</v>
      </c>
      <c r="B1395" s="1" t="s">
        <v>3658</v>
      </c>
      <c r="C1395" s="1" t="s">
        <v>3659</v>
      </c>
    </row>
    <row r="1396" spans="1:3" x14ac:dyDescent="0.25">
      <c r="A1396" s="1" t="s">
        <v>3660</v>
      </c>
      <c r="B1396" s="1" t="s">
        <v>3661</v>
      </c>
      <c r="C1396" s="1" t="s">
        <v>3662</v>
      </c>
    </row>
    <row r="1397" spans="1:3" x14ac:dyDescent="0.25">
      <c r="A1397" s="1" t="s">
        <v>3663</v>
      </c>
      <c r="B1397" s="1" t="s">
        <v>3664</v>
      </c>
      <c r="C1397" s="1" t="s">
        <v>3665</v>
      </c>
    </row>
    <row r="1398" spans="1:3" x14ac:dyDescent="0.25">
      <c r="A1398" s="1" t="s">
        <v>3666</v>
      </c>
      <c r="B1398" s="1" t="s">
        <v>3667</v>
      </c>
      <c r="C1398" s="1" t="s">
        <v>3668</v>
      </c>
    </row>
    <row r="1399" spans="1:3" x14ac:dyDescent="0.25">
      <c r="A1399" s="1" t="s">
        <v>3669</v>
      </c>
      <c r="B1399" s="1" t="s">
        <v>3664</v>
      </c>
      <c r="C1399" s="1" t="s">
        <v>3670</v>
      </c>
    </row>
    <row r="1400" spans="1:3" s="29" customFormat="1" x14ac:dyDescent="0.25">
      <c r="A1400" s="2" t="s">
        <v>3671</v>
      </c>
      <c r="B1400" s="2" t="s">
        <v>3672</v>
      </c>
      <c r="C1400" s="2" t="s">
        <v>3673</v>
      </c>
    </row>
    <row r="1401" spans="1:3" x14ac:dyDescent="0.25">
      <c r="A1401" s="1" t="s">
        <v>3674</v>
      </c>
      <c r="B1401" s="1" t="s">
        <v>3675</v>
      </c>
      <c r="C1401" s="1" t="s">
        <v>3676</v>
      </c>
    </row>
    <row r="1402" spans="1:3" x14ac:dyDescent="0.25">
      <c r="A1402" s="1" t="s">
        <v>3677</v>
      </c>
      <c r="B1402" s="1" t="s">
        <v>3678</v>
      </c>
      <c r="C1402" s="1" t="s">
        <v>3679</v>
      </c>
    </row>
    <row r="1403" spans="1:3" x14ac:dyDescent="0.25">
      <c r="A1403" s="1" t="s">
        <v>3680</v>
      </c>
      <c r="B1403" s="1" t="s">
        <v>3681</v>
      </c>
      <c r="C1403" s="1" t="s">
        <v>3682</v>
      </c>
    </row>
    <row r="1404" spans="1:3" x14ac:dyDescent="0.25">
      <c r="A1404" s="1" t="s">
        <v>3683</v>
      </c>
      <c r="B1404" s="1" t="s">
        <v>3684</v>
      </c>
      <c r="C1404" s="1" t="s">
        <v>3685</v>
      </c>
    </row>
    <row r="1405" spans="1:3" x14ac:dyDescent="0.25">
      <c r="A1405" s="1" t="s">
        <v>3686</v>
      </c>
      <c r="B1405" s="1" t="s">
        <v>3687</v>
      </c>
      <c r="C1405" s="1" t="s">
        <v>3688</v>
      </c>
    </row>
    <row r="1406" spans="1:3" x14ac:dyDescent="0.25">
      <c r="A1406" s="1" t="s">
        <v>3689</v>
      </c>
      <c r="B1406" s="1" t="s">
        <v>3690</v>
      </c>
      <c r="C1406" s="1" t="s">
        <v>3691</v>
      </c>
    </row>
    <row r="1407" spans="1:3" s="29" customFormat="1" x14ac:dyDescent="0.25">
      <c r="A1407" s="2" t="s">
        <v>3692</v>
      </c>
      <c r="B1407" s="2" t="s">
        <v>3693</v>
      </c>
      <c r="C1407" s="2" t="s">
        <v>3694</v>
      </c>
    </row>
    <row r="1408" spans="1:3" s="29" customFormat="1" x14ac:dyDescent="0.25">
      <c r="A1408" s="2" t="s">
        <v>3695</v>
      </c>
      <c r="B1408" s="2" t="s">
        <v>3696</v>
      </c>
      <c r="C1408" s="2" t="s">
        <v>3697</v>
      </c>
    </row>
    <row r="1409" spans="1:13" s="29" customFormat="1" x14ac:dyDescent="0.25">
      <c r="A1409" s="2" t="s">
        <v>3698</v>
      </c>
      <c r="B1409" s="2" t="s">
        <v>3699</v>
      </c>
      <c r="C1409" s="2" t="s">
        <v>3700</v>
      </c>
    </row>
    <row r="1410" spans="1:13" s="29" customFormat="1" x14ac:dyDescent="0.25">
      <c r="A1410" s="2" t="s">
        <v>3701</v>
      </c>
      <c r="B1410" s="2" t="s">
        <v>3702</v>
      </c>
      <c r="C1410" s="2" t="s">
        <v>3703</v>
      </c>
    </row>
    <row r="1411" spans="1:13" s="29" customFormat="1" x14ac:dyDescent="0.25">
      <c r="A1411" s="2" t="s">
        <v>3704</v>
      </c>
      <c r="B1411" s="2" t="s">
        <v>3705</v>
      </c>
      <c r="C1411" s="2" t="s">
        <v>3706</v>
      </c>
    </row>
    <row r="1412" spans="1:13" x14ac:dyDescent="0.25">
      <c r="A1412" s="1" t="s">
        <v>3707</v>
      </c>
      <c r="B1412" s="1" t="s">
        <v>3708</v>
      </c>
      <c r="C1412" s="1" t="s">
        <v>3709</v>
      </c>
    </row>
    <row r="1413" spans="1:13" x14ac:dyDescent="0.25">
      <c r="A1413" s="1" t="s">
        <v>3710</v>
      </c>
      <c r="B1413" s="1" t="s">
        <v>3711</v>
      </c>
      <c r="C1413" s="1" t="s">
        <v>3712</v>
      </c>
    </row>
    <row r="1414" spans="1:13" x14ac:dyDescent="0.25">
      <c r="A1414" s="1" t="s">
        <v>3713</v>
      </c>
      <c r="B1414" s="1" t="s">
        <v>3714</v>
      </c>
      <c r="C1414" s="1" t="s">
        <v>3715</v>
      </c>
    </row>
    <row r="1415" spans="1:13" x14ac:dyDescent="0.25">
      <c r="A1415" s="1" t="s">
        <v>3716</v>
      </c>
      <c r="B1415" s="1" t="s">
        <v>3717</v>
      </c>
      <c r="C1415" s="1" t="s">
        <v>3718</v>
      </c>
    </row>
    <row r="1416" spans="1:13" x14ac:dyDescent="0.25">
      <c r="A1416" s="1" t="s">
        <v>3719</v>
      </c>
      <c r="B1416" s="1" t="s">
        <v>3720</v>
      </c>
      <c r="C1416" s="1" t="s">
        <v>3721</v>
      </c>
    </row>
    <row r="1418" spans="1:13" ht="18.75" x14ac:dyDescent="0.25">
      <c r="A1418" s="44" t="s">
        <v>34</v>
      </c>
      <c r="B1418" s="44"/>
      <c r="C1418" s="44"/>
      <c r="D1418" s="44"/>
      <c r="E1418" s="44"/>
      <c r="F1418" s="44"/>
      <c r="G1418" s="44"/>
      <c r="H1418" s="44"/>
      <c r="I1418" s="44"/>
      <c r="J1418" s="44"/>
      <c r="K1418" s="44"/>
      <c r="L1418" s="44"/>
      <c r="M1418" s="44"/>
    </row>
    <row r="1419" spans="1:13" ht="15" customHeight="1" x14ac:dyDescent="0.25">
      <c r="A1419" s="45" t="s">
        <v>3722</v>
      </c>
      <c r="B1419" s="45"/>
      <c r="C1419" s="45"/>
      <c r="D1419" s="45"/>
      <c r="E1419" s="45"/>
      <c r="F1419" s="45"/>
      <c r="G1419" s="45"/>
      <c r="H1419" s="45"/>
      <c r="I1419" s="45"/>
      <c r="J1419" s="45"/>
      <c r="K1419" s="45"/>
      <c r="L1419" s="45"/>
      <c r="M1419" s="45"/>
    </row>
    <row r="1421" spans="1:13" ht="18.75" x14ac:dyDescent="0.25">
      <c r="A1421" s="44" t="s">
        <v>1</v>
      </c>
      <c r="B1421" s="44"/>
      <c r="C1421" s="44"/>
      <c r="D1421" s="44"/>
      <c r="E1421" s="44"/>
      <c r="F1421" s="44"/>
      <c r="G1421" s="44"/>
      <c r="H1421" s="44"/>
      <c r="I1421" s="44"/>
      <c r="J1421" s="44"/>
      <c r="K1421" s="44"/>
      <c r="L1421" s="44"/>
      <c r="M1421" s="44"/>
    </row>
    <row r="1422" spans="1:13" ht="15" customHeight="1" x14ac:dyDescent="0.25">
      <c r="A1422" s="45" t="s">
        <v>3723</v>
      </c>
      <c r="B1422" s="45"/>
      <c r="C1422" s="45"/>
      <c r="D1422" s="45"/>
      <c r="E1422" s="45"/>
      <c r="F1422" s="45"/>
      <c r="G1422" s="45"/>
      <c r="H1422" s="45"/>
      <c r="I1422" s="45"/>
      <c r="J1422" s="45"/>
      <c r="K1422" s="45"/>
      <c r="L1422" s="45"/>
      <c r="M1422" s="45"/>
    </row>
    <row r="1423" spans="1:13" x14ac:dyDescent="0.25">
      <c r="A1423" s="1" t="s">
        <v>1785</v>
      </c>
      <c r="B1423" s="1" t="s">
        <v>1786</v>
      </c>
      <c r="C1423" s="1" t="s">
        <v>1787</v>
      </c>
    </row>
    <row r="1424" spans="1:13" x14ac:dyDescent="0.25">
      <c r="A1424" s="43" t="s">
        <v>3724</v>
      </c>
      <c r="B1424" s="43"/>
      <c r="C1424" s="43"/>
    </row>
    <row r="1425" spans="1:3" x14ac:dyDescent="0.25">
      <c r="A1425" s="2" t="s">
        <v>3725</v>
      </c>
      <c r="B1425" s="2" t="s">
        <v>3726</v>
      </c>
      <c r="C1425" s="2" t="s">
        <v>3727</v>
      </c>
    </row>
    <row r="1426" spans="1:3" x14ac:dyDescent="0.25">
      <c r="A1426" s="2" t="s">
        <v>3728</v>
      </c>
      <c r="B1426" s="2" t="s">
        <v>3729</v>
      </c>
      <c r="C1426" s="2" t="s">
        <v>3730</v>
      </c>
    </row>
    <row r="1427" spans="1:3" x14ac:dyDescent="0.25">
      <c r="A1427" s="2" t="s">
        <v>91</v>
      </c>
      <c r="B1427" s="2" t="s">
        <v>3731</v>
      </c>
      <c r="C1427" s="2" t="s">
        <v>3732</v>
      </c>
    </row>
    <row r="1428" spans="1:3" x14ac:dyDescent="0.25">
      <c r="A1428" s="2" t="s">
        <v>3733</v>
      </c>
      <c r="B1428" s="2" t="s">
        <v>3734</v>
      </c>
      <c r="C1428" s="2" t="s">
        <v>3735</v>
      </c>
    </row>
    <row r="1429" spans="1:3" x14ac:dyDescent="0.25">
      <c r="A1429" s="2" t="s">
        <v>3736</v>
      </c>
      <c r="B1429" s="2" t="s">
        <v>3737</v>
      </c>
      <c r="C1429" s="2" t="s">
        <v>3709</v>
      </c>
    </row>
    <row r="1430" spans="1:3" x14ac:dyDescent="0.25">
      <c r="A1430" s="2" t="s">
        <v>3738</v>
      </c>
      <c r="B1430" s="2" t="s">
        <v>3739</v>
      </c>
      <c r="C1430" s="2" t="s">
        <v>3574</v>
      </c>
    </row>
    <row r="1431" spans="1:3" x14ac:dyDescent="0.25">
      <c r="A1431" s="2" t="s">
        <v>3740</v>
      </c>
      <c r="B1431" s="2" t="s">
        <v>3741</v>
      </c>
      <c r="C1431" s="2" t="s">
        <v>3742</v>
      </c>
    </row>
    <row r="1432" spans="1:3" x14ac:dyDescent="0.25">
      <c r="A1432" s="2" t="s">
        <v>3743</v>
      </c>
      <c r="B1432" s="2" t="s">
        <v>3744</v>
      </c>
      <c r="C1432" s="2" t="s">
        <v>3745</v>
      </c>
    </row>
    <row r="1433" spans="1:3" x14ac:dyDescent="0.25">
      <c r="A1433" s="2" t="s">
        <v>3746</v>
      </c>
      <c r="B1433" s="2" t="s">
        <v>3747</v>
      </c>
      <c r="C1433" s="2" t="s">
        <v>3748</v>
      </c>
    </row>
    <row r="1434" spans="1:3" x14ac:dyDescent="0.25">
      <c r="A1434" s="2" t="s">
        <v>3749</v>
      </c>
      <c r="B1434" s="2" t="s">
        <v>3750</v>
      </c>
      <c r="C1434" s="2" t="s">
        <v>3751</v>
      </c>
    </row>
    <row r="1435" spans="1:3" x14ac:dyDescent="0.25">
      <c r="A1435" s="2" t="s">
        <v>3752</v>
      </c>
      <c r="B1435" s="2" t="s">
        <v>3753</v>
      </c>
      <c r="C1435" s="2" t="s">
        <v>3754</v>
      </c>
    </row>
    <row r="1436" spans="1:3" x14ac:dyDescent="0.25">
      <c r="A1436" s="2" t="s">
        <v>3755</v>
      </c>
      <c r="B1436" s="2" t="s">
        <v>3756</v>
      </c>
      <c r="C1436" s="2" t="s">
        <v>3757</v>
      </c>
    </row>
    <row r="1437" spans="1:3" x14ac:dyDescent="0.25">
      <c r="A1437" s="2" t="s">
        <v>3758</v>
      </c>
      <c r="B1437" s="2" t="s">
        <v>3759</v>
      </c>
      <c r="C1437" s="2" t="s">
        <v>3760</v>
      </c>
    </row>
    <row r="1438" spans="1:3" x14ac:dyDescent="0.25">
      <c r="A1438" s="2" t="s">
        <v>3761</v>
      </c>
      <c r="B1438" s="2" t="s">
        <v>3762</v>
      </c>
      <c r="C1438" s="2" t="s">
        <v>3763</v>
      </c>
    </row>
    <row r="1439" spans="1:3" x14ac:dyDescent="0.25">
      <c r="A1439" s="43" t="s">
        <v>3764</v>
      </c>
      <c r="B1439" s="43"/>
      <c r="C1439" s="43"/>
    </row>
    <row r="1440" spans="1:3" x14ac:dyDescent="0.25">
      <c r="A1440" s="1" t="s">
        <v>3765</v>
      </c>
      <c r="B1440" s="1" t="s">
        <v>3766</v>
      </c>
      <c r="C1440" s="1" t="s">
        <v>3767</v>
      </c>
    </row>
    <row r="1441" spans="1:3" x14ac:dyDescent="0.25">
      <c r="A1441" s="1" t="s">
        <v>3768</v>
      </c>
      <c r="B1441" s="1" t="s">
        <v>3769</v>
      </c>
      <c r="C1441" s="1" t="s">
        <v>3770</v>
      </c>
    </row>
    <row r="1442" spans="1:3" x14ac:dyDescent="0.25">
      <c r="A1442" s="1" t="s">
        <v>3771</v>
      </c>
      <c r="B1442" s="1" t="s">
        <v>3772</v>
      </c>
      <c r="C1442" s="1" t="s">
        <v>3773</v>
      </c>
    </row>
    <row r="1443" spans="1:3" x14ac:dyDescent="0.25">
      <c r="A1443" s="1" t="s">
        <v>3774</v>
      </c>
      <c r="B1443" s="1" t="s">
        <v>3775</v>
      </c>
      <c r="C1443" s="1" t="s">
        <v>3776</v>
      </c>
    </row>
    <row r="1444" spans="1:3" x14ac:dyDescent="0.25">
      <c r="A1444" s="1" t="s">
        <v>3777</v>
      </c>
      <c r="B1444" s="1" t="s">
        <v>3778</v>
      </c>
      <c r="C1444" s="1" t="s">
        <v>3779</v>
      </c>
    </row>
    <row r="1445" spans="1:3" x14ac:dyDescent="0.25">
      <c r="A1445" s="1" t="s">
        <v>3780</v>
      </c>
      <c r="B1445" s="1" t="s">
        <v>3781</v>
      </c>
      <c r="C1445" s="1" t="s">
        <v>3782</v>
      </c>
    </row>
    <row r="1446" spans="1:3" x14ac:dyDescent="0.25">
      <c r="A1446" s="1" t="s">
        <v>3783</v>
      </c>
      <c r="B1446" s="1" t="s">
        <v>3784</v>
      </c>
      <c r="C1446" s="1" t="s">
        <v>3785</v>
      </c>
    </row>
    <row r="1447" spans="1:3" x14ac:dyDescent="0.25">
      <c r="A1447" s="1" t="s">
        <v>3786</v>
      </c>
      <c r="B1447" s="1" t="s">
        <v>3787</v>
      </c>
      <c r="C1447" s="1" t="s">
        <v>3788</v>
      </c>
    </row>
    <row r="1448" spans="1:3" x14ac:dyDescent="0.25">
      <c r="A1448" s="1" t="s">
        <v>3789</v>
      </c>
      <c r="B1448" s="1" t="s">
        <v>3790</v>
      </c>
      <c r="C1448" s="1" t="s">
        <v>3791</v>
      </c>
    </row>
    <row r="1449" spans="1:3" x14ac:dyDescent="0.25">
      <c r="A1449" s="1" t="s">
        <v>3792</v>
      </c>
      <c r="B1449" s="1" t="s">
        <v>3793</v>
      </c>
      <c r="C1449" s="1" t="s">
        <v>3794</v>
      </c>
    </row>
    <row r="1450" spans="1:3" x14ac:dyDescent="0.25">
      <c r="A1450" s="1" t="s">
        <v>3795</v>
      </c>
      <c r="B1450" s="1" t="s">
        <v>3796</v>
      </c>
      <c r="C1450" s="1" t="s">
        <v>3797</v>
      </c>
    </row>
    <row r="1451" spans="1:3" x14ac:dyDescent="0.25">
      <c r="A1451" s="1" t="s">
        <v>3798</v>
      </c>
      <c r="B1451" s="1" t="s">
        <v>3799</v>
      </c>
      <c r="C1451" s="1" t="s">
        <v>3800</v>
      </c>
    </row>
    <row r="1452" spans="1:3" x14ac:dyDescent="0.25">
      <c r="A1452" s="1" t="s">
        <v>3801</v>
      </c>
      <c r="B1452" s="1" t="s">
        <v>3802</v>
      </c>
      <c r="C1452" s="1" t="s">
        <v>3803</v>
      </c>
    </row>
    <row r="1453" spans="1:3" x14ac:dyDescent="0.25">
      <c r="A1453" s="1" t="s">
        <v>3609</v>
      </c>
      <c r="B1453" s="1" t="s">
        <v>3804</v>
      </c>
      <c r="C1453" s="1" t="s">
        <v>3805</v>
      </c>
    </row>
    <row r="1454" spans="1:3" x14ac:dyDescent="0.25">
      <c r="A1454" s="1" t="s">
        <v>3648</v>
      </c>
      <c r="B1454" s="1" t="s">
        <v>3806</v>
      </c>
      <c r="C1454" s="1" t="s">
        <v>3807</v>
      </c>
    </row>
    <row r="1457" spans="1:13" ht="18.75" x14ac:dyDescent="0.25">
      <c r="A1457" s="44" t="s">
        <v>3808</v>
      </c>
      <c r="B1457" s="44"/>
      <c r="C1457" s="44"/>
      <c r="D1457" s="44"/>
      <c r="E1457" s="44"/>
      <c r="F1457" s="44"/>
      <c r="G1457" s="44"/>
      <c r="H1457" s="44"/>
      <c r="I1457" s="44"/>
      <c r="J1457" s="44"/>
      <c r="K1457" s="44"/>
      <c r="L1457" s="44"/>
      <c r="M1457" s="44"/>
    </row>
    <row r="1458" spans="1:13" x14ac:dyDescent="0.25">
      <c r="A1458" s="45"/>
      <c r="B1458" s="45"/>
      <c r="C1458" s="45"/>
      <c r="D1458" s="45"/>
      <c r="E1458" s="45"/>
      <c r="F1458" s="45"/>
      <c r="G1458" s="45"/>
      <c r="H1458" s="45"/>
      <c r="I1458" s="45"/>
      <c r="J1458" s="45"/>
      <c r="K1458" s="45"/>
      <c r="L1458" s="45"/>
      <c r="M1458" s="45"/>
    </row>
  </sheetData>
  <autoFilter ref="A1236:C1236" xr:uid="{00000000-0009-0000-0000-000014000000}"/>
  <mergeCells count="38">
    <mergeCell ref="A1:M1"/>
    <mergeCell ref="A2:M2"/>
    <mergeCell ref="K23:M23"/>
    <mergeCell ref="A68:M68"/>
    <mergeCell ref="A69:M69"/>
    <mergeCell ref="E96:G96"/>
    <mergeCell ref="A97:C97"/>
    <mergeCell ref="A225:M225"/>
    <mergeCell ref="A226:M226"/>
    <mergeCell ref="A632:M632"/>
    <mergeCell ref="A633:M633"/>
    <mergeCell ref="A697:M697"/>
    <mergeCell ref="A698:M698"/>
    <mergeCell ref="A733:M733"/>
    <mergeCell ref="A734:M734"/>
    <mergeCell ref="A903:M903"/>
    <mergeCell ref="A904:M904"/>
    <mergeCell ref="A931:M931"/>
    <mergeCell ref="A932:M932"/>
    <mergeCell ref="A1042:M1042"/>
    <mergeCell ref="A1043:M1043"/>
    <mergeCell ref="A1086:C1086"/>
    <mergeCell ref="A1105:M1105"/>
    <mergeCell ref="A1106:M1106"/>
    <mergeCell ref="A1179:M1179"/>
    <mergeCell ref="A1180:M1180"/>
    <mergeCell ref="A1234:M1234"/>
    <mergeCell ref="A1235:M1235"/>
    <mergeCell ref="A1373:M1373"/>
    <mergeCell ref="A1374:M1374"/>
    <mergeCell ref="A1439:C1439"/>
    <mergeCell ref="A1457:M1457"/>
    <mergeCell ref="A1458:M1458"/>
    <mergeCell ref="A1418:M1418"/>
    <mergeCell ref="A1419:M1419"/>
    <mergeCell ref="A1421:M1421"/>
    <mergeCell ref="A1422:M1422"/>
    <mergeCell ref="A1424:C1424"/>
  </mergeCells>
  <pageMargins left="0.7" right="0.7" top="0.75" bottom="0.75" header="0.51180555555555496" footer="0.51180555555555496"/>
  <pageSetup firstPageNumber="0"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260</TotalTime>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August 2020</vt:lpstr>
      <vt:lpstr>September 2020</vt:lpstr>
      <vt:lpstr>October 2020</vt:lpstr>
      <vt:lpstr>November 2020</vt:lpstr>
      <vt:lpstr>December 2020</vt:lpstr>
      <vt:lpstr>January 2021</vt:lpstr>
      <vt:lpstr>February 2021</vt:lpstr>
      <vt:lpstr>March 2021</vt:lpstr>
      <vt:lpstr>April 2021</vt:lpstr>
      <vt:lpstr>May 2021</vt:lpstr>
      <vt:lpstr>June 2021 </vt:lpstr>
      <vt:lpstr>July 2021</vt:lpstr>
      <vt:lpstr>August 2021</vt:lpstr>
      <vt:lpstr>September 2021</vt:lpstr>
      <vt:lpstr>October 2021</vt:lpstr>
      <vt:lpstr>November 2021</vt:lpstr>
      <vt:lpstr>December 2021</vt:lpstr>
      <vt:lpstr>January 2022</vt:lpstr>
      <vt:lpstr>February 2022</vt:lpstr>
      <vt:lpstr>March 2022</vt:lpstr>
      <vt:lpstr>Shit Sheet</vt:lpstr>
      <vt:lpstr>MAIN-Analisys</vt:lpstr>
      <vt:lpstr>Sector chart</vt:lpstr>
      <vt:lpstr>Comments</vt:lpstr>
      <vt:lpstr>Trade Ideas</vt:lpstr>
      <vt:lpstr>Sector Description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Ivona</dc:creator>
  <dc:description/>
  <cp:lastModifiedBy>Петър Миланов</cp:lastModifiedBy>
  <cp:revision>34</cp:revision>
  <dcterms:created xsi:type="dcterms:W3CDTF">2015-06-05T18:17:20Z</dcterms:created>
  <dcterms:modified xsi:type="dcterms:W3CDTF">2022-04-19T08:12:06Z</dcterms:modified>
  <dc:language>bg-BG</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DocSecurity">
    <vt:i4>0</vt:i4>
  </property>
  <property fmtid="{D5CDD505-2E9C-101B-9397-08002B2CF9AE}" pid="4" name="HyperlinksChanged">
    <vt:bool>false</vt:bool>
  </property>
  <property fmtid="{D5CDD505-2E9C-101B-9397-08002B2CF9AE}" pid="5" name="LinksUpToDate">
    <vt:bool>false</vt:bool>
  </property>
  <property fmtid="{D5CDD505-2E9C-101B-9397-08002B2CF9AE}" pid="6" name="ScaleCrop">
    <vt:bool>false</vt:bool>
  </property>
  <property fmtid="{D5CDD505-2E9C-101B-9397-08002B2CF9AE}" pid="7" name="ShareDoc">
    <vt:bool>false</vt:bool>
  </property>
</Properties>
</file>